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64011"/>
  <mc:AlternateContent xmlns:mc="http://schemas.openxmlformats.org/markup-compatibility/2006">
    <mc:Choice Requires="x15">
      <x15ac:absPath xmlns:x15ac="http://schemas.microsoft.com/office/spreadsheetml/2010/11/ac" url="C:\Users\Supermercado Sol\Downloads\"/>
    </mc:Choice>
  </mc:AlternateContent>
  <bookViews>
    <workbookView xWindow="0" yWindow="0" windowWidth="15300" windowHeight="6675" firstSheet="1" activeTab="1"/>
  </bookViews>
  <sheets>
    <sheet name="PERDAS  SAIDAS SETORES (2026)" sheetId="15" state="hidden" r:id="rId1"/>
    <sheet name="PERDAS  SAIDAS SETORES (2025)" sheetId="2" r:id="rId2"/>
    <sheet name="MATERIAL USO CONSUMO (2026)" sheetId="16" state="hidden" r:id="rId3"/>
    <sheet name="MATERIAL USO CONSUMO" sheetId="1" r:id="rId4"/>
    <sheet name="Planilha1" sheetId="13" state="hidden" r:id="rId5"/>
    <sheet name="PERDAS LOJA 03" sheetId="14" state="hidden" r:id="rId6"/>
  </sheets>
  <calcPr calcId="162913"/>
  <customWorkbookViews>
    <customWorkbookView name="PERDAS" guid="{C84F1237-6930-4835-8603-91455A7E0F8F}" maximized="1" xWindow="-8" yWindow="-8" windowWidth="1616" windowHeight="876" activeSheetId="4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5" l="1"/>
  <c r="E14" i="15"/>
  <c r="D42" i="15"/>
  <c r="N42" i="15"/>
  <c r="M42" i="15"/>
  <c r="L42" i="15"/>
  <c r="K42" i="15"/>
  <c r="J42" i="15"/>
  <c r="I42" i="15"/>
  <c r="H42" i="15"/>
  <c r="G42" i="15"/>
  <c r="F42" i="15"/>
  <c r="E42" i="15"/>
  <c r="C42" i="15"/>
  <c r="O32" i="15" l="1"/>
  <c r="O33" i="15"/>
  <c r="O34" i="15"/>
  <c r="O35" i="15"/>
  <c r="O36" i="15"/>
  <c r="O37" i="15"/>
  <c r="O38" i="15"/>
  <c r="O39" i="15"/>
  <c r="O40" i="15"/>
  <c r="O41" i="15"/>
  <c r="Q74" i="15" l="1"/>
  <c r="P74" i="15"/>
  <c r="O74" i="15"/>
  <c r="O5" i="16"/>
  <c r="P5" i="16"/>
  <c r="Q5" i="16"/>
  <c r="O6" i="16"/>
  <c r="P6" i="16"/>
  <c r="Q6" i="16"/>
  <c r="O7" i="16"/>
  <c r="P7" i="16"/>
  <c r="Q7" i="16"/>
  <c r="O8" i="16"/>
  <c r="P8" i="16"/>
  <c r="Q8" i="16"/>
  <c r="O9" i="16"/>
  <c r="P9" i="16"/>
  <c r="Q9" i="16"/>
  <c r="O10" i="16"/>
  <c r="P10" i="16"/>
  <c r="Q10" i="16"/>
  <c r="O11" i="16"/>
  <c r="P11" i="16"/>
  <c r="Q11" i="16"/>
  <c r="Q4" i="16"/>
  <c r="P4" i="16"/>
  <c r="O4" i="16"/>
  <c r="Q22" i="16"/>
  <c r="P22" i="16"/>
  <c r="O22" i="16"/>
  <c r="Q21" i="16"/>
  <c r="P21" i="16"/>
  <c r="O21" i="16"/>
  <c r="Q20" i="16"/>
  <c r="P20" i="16"/>
  <c r="O20" i="16"/>
  <c r="Q19" i="16"/>
  <c r="P19" i="16"/>
  <c r="O19" i="16"/>
  <c r="Q18" i="16"/>
  <c r="P18" i="16"/>
  <c r="O18" i="16"/>
  <c r="Q17" i="16"/>
  <c r="P17" i="16"/>
  <c r="O17" i="16"/>
  <c r="Q16" i="16"/>
  <c r="P16" i="16"/>
  <c r="O16" i="16"/>
  <c r="Q33" i="16"/>
  <c r="P33" i="16"/>
  <c r="O33" i="16"/>
  <c r="Q32" i="16"/>
  <c r="P32" i="16"/>
  <c r="O32" i="16"/>
  <c r="Q31" i="16"/>
  <c r="P31" i="16"/>
  <c r="O31" i="16"/>
  <c r="Q30" i="16"/>
  <c r="P30" i="16"/>
  <c r="O30" i="16"/>
  <c r="Q29" i="16"/>
  <c r="P29" i="16"/>
  <c r="O29" i="16"/>
  <c r="Q28" i="16"/>
  <c r="P28" i="16"/>
  <c r="O28" i="16"/>
  <c r="Q27" i="16"/>
  <c r="P27" i="16"/>
  <c r="O27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Q59" i="16"/>
  <c r="P59" i="16"/>
  <c r="O59" i="16"/>
  <c r="Q58" i="16"/>
  <c r="P58" i="16"/>
  <c r="O58" i="16"/>
  <c r="Q57" i="16"/>
  <c r="P57" i="16"/>
  <c r="O57" i="16"/>
  <c r="Q56" i="16"/>
  <c r="P56" i="16"/>
  <c r="O56" i="16"/>
  <c r="Q55" i="16"/>
  <c r="P55" i="16"/>
  <c r="O55" i="16"/>
  <c r="Q54" i="16"/>
  <c r="P54" i="16"/>
  <c r="O54" i="16"/>
  <c r="Q53" i="16"/>
  <c r="P53" i="16"/>
  <c r="O53" i="16"/>
  <c r="Q60" i="16" l="1"/>
  <c r="O60" i="16"/>
  <c r="P60" i="16"/>
  <c r="N70" i="15"/>
  <c r="M70" i="15"/>
  <c r="L70" i="15"/>
  <c r="K70" i="15"/>
  <c r="J70" i="15"/>
  <c r="I70" i="15"/>
  <c r="H70" i="15"/>
  <c r="G70" i="15"/>
  <c r="F70" i="15"/>
  <c r="E70" i="15"/>
  <c r="D70" i="15"/>
  <c r="Q69" i="15"/>
  <c r="P69" i="15"/>
  <c r="O69" i="15"/>
  <c r="Q68" i="15"/>
  <c r="P68" i="15"/>
  <c r="O68" i="15"/>
  <c r="Q67" i="15"/>
  <c r="P67" i="15"/>
  <c r="O67" i="15"/>
  <c r="Q66" i="15"/>
  <c r="P66" i="15"/>
  <c r="O66" i="15"/>
  <c r="Q65" i="15"/>
  <c r="P65" i="15"/>
  <c r="O65" i="15"/>
  <c r="Q64" i="15"/>
  <c r="P64" i="15"/>
  <c r="O64" i="15"/>
  <c r="Q63" i="15"/>
  <c r="P63" i="15"/>
  <c r="O63" i="15"/>
  <c r="Q62" i="15"/>
  <c r="P62" i="15"/>
  <c r="O62" i="15"/>
  <c r="Q61" i="15"/>
  <c r="P61" i="15"/>
  <c r="O61" i="15"/>
  <c r="Q60" i="15"/>
  <c r="P60" i="15"/>
  <c r="O60" i="15"/>
  <c r="N45" i="16"/>
  <c r="M45" i="16"/>
  <c r="L45" i="16"/>
  <c r="K45" i="16"/>
  <c r="J45" i="16"/>
  <c r="I45" i="16"/>
  <c r="H45" i="16"/>
  <c r="G45" i="16"/>
  <c r="F45" i="16"/>
  <c r="E45" i="16"/>
  <c r="D45" i="16"/>
  <c r="C45" i="16"/>
  <c r="Q44" i="16"/>
  <c r="P44" i="16"/>
  <c r="O44" i="16"/>
  <c r="Q43" i="16"/>
  <c r="P43" i="16"/>
  <c r="O43" i="16"/>
  <c r="Q42" i="16"/>
  <c r="P42" i="16"/>
  <c r="O42" i="16"/>
  <c r="Q41" i="16"/>
  <c r="P41" i="16"/>
  <c r="O41" i="16"/>
  <c r="Q40" i="16"/>
  <c r="P40" i="16"/>
  <c r="O40" i="16"/>
  <c r="Q39" i="16"/>
  <c r="P39" i="16"/>
  <c r="O39" i="16"/>
  <c r="Q38" i="16"/>
  <c r="P38" i="16"/>
  <c r="O38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Q34" i="16"/>
  <c r="P34" i="16"/>
  <c r="O34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Q23" i="16"/>
  <c r="P23" i="16"/>
  <c r="O23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Q12" i="16"/>
  <c r="P12" i="16"/>
  <c r="O12" i="16"/>
  <c r="C70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Q55" i="15"/>
  <c r="P55" i="15"/>
  <c r="O55" i="15"/>
  <c r="Q54" i="15"/>
  <c r="P54" i="15"/>
  <c r="O54" i="15"/>
  <c r="Q53" i="15"/>
  <c r="P53" i="15"/>
  <c r="O53" i="15"/>
  <c r="Q52" i="15"/>
  <c r="P52" i="15"/>
  <c r="O52" i="15"/>
  <c r="Q51" i="15"/>
  <c r="P51" i="15"/>
  <c r="O51" i="15"/>
  <c r="Q50" i="15"/>
  <c r="P50" i="15"/>
  <c r="O50" i="15"/>
  <c r="Q49" i="15"/>
  <c r="P49" i="15"/>
  <c r="O49" i="15"/>
  <c r="Q48" i="15"/>
  <c r="P48" i="15"/>
  <c r="O48" i="15"/>
  <c r="Q47" i="15"/>
  <c r="P47" i="15"/>
  <c r="O47" i="15"/>
  <c r="Q46" i="15"/>
  <c r="P46" i="15"/>
  <c r="O46" i="15"/>
  <c r="Q41" i="15"/>
  <c r="P41" i="15"/>
  <c r="Q40" i="15"/>
  <c r="P40" i="15"/>
  <c r="Q39" i="15"/>
  <c r="P39" i="15"/>
  <c r="Q38" i="15"/>
  <c r="P38" i="15"/>
  <c r="Q37" i="15"/>
  <c r="P37" i="15"/>
  <c r="Q36" i="15"/>
  <c r="P36" i="15"/>
  <c r="Q35" i="15"/>
  <c r="P35" i="15"/>
  <c r="Q34" i="15"/>
  <c r="P34" i="15"/>
  <c r="Q33" i="15"/>
  <c r="P33" i="15"/>
  <c r="Q32" i="15"/>
  <c r="P32" i="15"/>
  <c r="O42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Q27" i="15"/>
  <c r="P27" i="15"/>
  <c r="O27" i="15"/>
  <c r="Q26" i="15"/>
  <c r="P26" i="15"/>
  <c r="O26" i="15"/>
  <c r="Q25" i="15"/>
  <c r="P25" i="15"/>
  <c r="O25" i="15"/>
  <c r="Q24" i="15"/>
  <c r="P24" i="15"/>
  <c r="O24" i="15"/>
  <c r="Q23" i="15"/>
  <c r="P23" i="15"/>
  <c r="O23" i="15"/>
  <c r="Q22" i="15"/>
  <c r="P22" i="15"/>
  <c r="O22" i="15"/>
  <c r="Q21" i="15"/>
  <c r="P21" i="15"/>
  <c r="O21" i="15"/>
  <c r="Q20" i="15"/>
  <c r="P20" i="15"/>
  <c r="O20" i="15"/>
  <c r="Q19" i="15"/>
  <c r="P19" i="15"/>
  <c r="O19" i="15"/>
  <c r="Q18" i="15"/>
  <c r="P18" i="15"/>
  <c r="O18" i="15"/>
  <c r="N14" i="15"/>
  <c r="M14" i="15"/>
  <c r="L14" i="15"/>
  <c r="K14" i="15"/>
  <c r="J14" i="15"/>
  <c r="I14" i="15"/>
  <c r="H14" i="15"/>
  <c r="G14" i="15"/>
  <c r="F14" i="15"/>
  <c r="C14" i="15"/>
  <c r="Q13" i="15"/>
  <c r="P13" i="15"/>
  <c r="O13" i="15"/>
  <c r="Q12" i="15"/>
  <c r="P12" i="15"/>
  <c r="O12" i="15"/>
  <c r="Q11" i="15"/>
  <c r="P11" i="15"/>
  <c r="O11" i="15"/>
  <c r="Q10" i="15"/>
  <c r="P10" i="15"/>
  <c r="O10" i="15"/>
  <c r="Q9" i="15"/>
  <c r="P9" i="15"/>
  <c r="O9" i="15"/>
  <c r="Q8" i="15"/>
  <c r="P8" i="15"/>
  <c r="O8" i="15"/>
  <c r="Q7" i="15"/>
  <c r="P7" i="15"/>
  <c r="O7" i="15"/>
  <c r="Q6" i="15"/>
  <c r="P6" i="15"/>
  <c r="O6" i="15"/>
  <c r="Q5" i="15"/>
  <c r="P5" i="15"/>
  <c r="O5" i="15"/>
  <c r="Q4" i="15"/>
  <c r="P4" i="15"/>
  <c r="O4" i="15"/>
  <c r="O70" i="15" l="1"/>
  <c r="O45" i="16"/>
  <c r="P45" i="16"/>
  <c r="P70" i="15"/>
  <c r="O14" i="15"/>
  <c r="O56" i="15"/>
  <c r="Q14" i="15"/>
  <c r="P56" i="15"/>
  <c r="Q70" i="15"/>
  <c r="Q45" i="16"/>
  <c r="Q56" i="15"/>
  <c r="P42" i="15"/>
  <c r="Q42" i="15"/>
  <c r="P28" i="15"/>
  <c r="Q28" i="15"/>
  <c r="O28" i="15"/>
  <c r="P14" i="15"/>
  <c r="C74" i="2"/>
  <c r="D45" i="1" l="1"/>
  <c r="E45" i="1"/>
  <c r="F45" i="1"/>
  <c r="G45" i="1"/>
  <c r="H45" i="1"/>
  <c r="I45" i="1"/>
  <c r="J45" i="1"/>
  <c r="K45" i="1"/>
  <c r="L45" i="1"/>
  <c r="M45" i="1"/>
  <c r="N45" i="1"/>
  <c r="O41" i="1"/>
  <c r="O38" i="1"/>
  <c r="O39" i="1"/>
  <c r="O40" i="1"/>
  <c r="O42" i="1"/>
  <c r="O43" i="1"/>
  <c r="O44" i="1"/>
  <c r="P38" i="1"/>
  <c r="P39" i="1"/>
  <c r="P40" i="1"/>
  <c r="P42" i="1"/>
  <c r="P43" i="1"/>
  <c r="P44" i="1"/>
  <c r="P41" i="1"/>
  <c r="Q38" i="1"/>
  <c r="Q39" i="1"/>
  <c r="Q40" i="1"/>
  <c r="Q42" i="1"/>
  <c r="Q43" i="1"/>
  <c r="Q44" i="1"/>
  <c r="Q41" i="1"/>
  <c r="C45" i="1"/>
  <c r="D34" i="1"/>
  <c r="E34" i="1"/>
  <c r="F34" i="1"/>
  <c r="G34" i="1"/>
  <c r="H34" i="1"/>
  <c r="I34" i="1"/>
  <c r="J34" i="1"/>
  <c r="K34" i="1"/>
  <c r="L34" i="1"/>
  <c r="M34" i="1"/>
  <c r="N34" i="1"/>
  <c r="O27" i="1"/>
  <c r="O28" i="1"/>
  <c r="O32" i="1"/>
  <c r="O31" i="1"/>
  <c r="O33" i="1"/>
  <c r="O29" i="1"/>
  <c r="O30" i="1"/>
  <c r="P27" i="1"/>
  <c r="P28" i="1"/>
  <c r="P32" i="1"/>
  <c r="P31" i="1"/>
  <c r="P33" i="1"/>
  <c r="P29" i="1"/>
  <c r="P30" i="1"/>
  <c r="Q27" i="1"/>
  <c r="Q28" i="1"/>
  <c r="Q32" i="1"/>
  <c r="Q31" i="1"/>
  <c r="Q33" i="1"/>
  <c r="Q29" i="1"/>
  <c r="Q30" i="1"/>
  <c r="C34" i="1"/>
  <c r="D23" i="1"/>
  <c r="E23" i="1"/>
  <c r="F23" i="1"/>
  <c r="G23" i="1"/>
  <c r="H23" i="1"/>
  <c r="I23" i="1"/>
  <c r="J23" i="1"/>
  <c r="K23" i="1"/>
  <c r="L23" i="1"/>
  <c r="M23" i="1"/>
  <c r="N23" i="1"/>
  <c r="O16" i="1"/>
  <c r="O17" i="1"/>
  <c r="O18" i="1"/>
  <c r="O19" i="1"/>
  <c r="O21" i="1"/>
  <c r="O20" i="1"/>
  <c r="O22" i="1"/>
  <c r="P16" i="1"/>
  <c r="P17" i="1"/>
  <c r="P18" i="1"/>
  <c r="P19" i="1"/>
  <c r="P21" i="1"/>
  <c r="P20" i="1"/>
  <c r="P22" i="1"/>
  <c r="Q16" i="1"/>
  <c r="Q17" i="1"/>
  <c r="Q18" i="1"/>
  <c r="Q19" i="1"/>
  <c r="Q21" i="1"/>
  <c r="Q20" i="1"/>
  <c r="Q22" i="1"/>
  <c r="C23" i="1"/>
  <c r="K12" i="1"/>
  <c r="L12" i="1"/>
  <c r="M12" i="1"/>
  <c r="N12" i="1"/>
  <c r="O11" i="1"/>
  <c r="O10" i="1"/>
  <c r="O9" i="1"/>
  <c r="O8" i="1"/>
  <c r="O7" i="1"/>
  <c r="O6" i="1"/>
  <c r="O5" i="1"/>
  <c r="O4" i="1"/>
  <c r="P11" i="1"/>
  <c r="P10" i="1"/>
  <c r="P9" i="1"/>
  <c r="P8" i="1"/>
  <c r="P7" i="1"/>
  <c r="P6" i="1"/>
  <c r="P5" i="1"/>
  <c r="P4" i="1"/>
  <c r="Q11" i="1"/>
  <c r="Q10" i="1"/>
  <c r="Q9" i="1"/>
  <c r="Q8" i="1"/>
  <c r="Q7" i="1"/>
  <c r="Q6" i="1"/>
  <c r="Q5" i="1"/>
  <c r="Q4" i="1"/>
  <c r="D12" i="1"/>
  <c r="E12" i="1"/>
  <c r="F12" i="1"/>
  <c r="G12" i="1"/>
  <c r="H12" i="1"/>
  <c r="I12" i="1"/>
  <c r="J12" i="1"/>
  <c r="C12" i="1"/>
  <c r="O48" i="2"/>
  <c r="O46" i="2"/>
  <c r="O50" i="2"/>
  <c r="O53" i="2"/>
  <c r="O47" i="2"/>
  <c r="O54" i="2"/>
  <c r="O55" i="2"/>
  <c r="O49" i="2"/>
  <c r="O51" i="2"/>
  <c r="O52" i="2"/>
  <c r="P48" i="2"/>
  <c r="P46" i="2"/>
  <c r="P50" i="2"/>
  <c r="P53" i="2"/>
  <c r="P47" i="2"/>
  <c r="P54" i="2"/>
  <c r="P55" i="2"/>
  <c r="P49" i="2"/>
  <c r="P51" i="2"/>
  <c r="P52" i="2"/>
  <c r="Q48" i="2"/>
  <c r="Q46" i="2"/>
  <c r="Q50" i="2"/>
  <c r="Q53" i="2"/>
  <c r="Q47" i="2"/>
  <c r="Q54" i="2"/>
  <c r="Q55" i="2"/>
  <c r="Q49" i="2"/>
  <c r="Q51" i="2"/>
  <c r="Q52" i="2"/>
  <c r="O36" i="2"/>
  <c r="O35" i="2"/>
  <c r="O38" i="2"/>
  <c r="O32" i="2"/>
  <c r="O33" i="2"/>
  <c r="O34" i="2"/>
  <c r="O40" i="2"/>
  <c r="O39" i="2"/>
  <c r="O41" i="2"/>
  <c r="O37" i="2"/>
  <c r="P36" i="2"/>
  <c r="P35" i="2"/>
  <c r="P38" i="2"/>
  <c r="P32" i="2"/>
  <c r="P33" i="2"/>
  <c r="P34" i="2"/>
  <c r="P40" i="2"/>
  <c r="P39" i="2"/>
  <c r="P41" i="2"/>
  <c r="P37" i="2"/>
  <c r="Q36" i="2"/>
  <c r="Q35" i="2"/>
  <c r="Q38" i="2"/>
  <c r="Q32" i="2"/>
  <c r="Q33" i="2"/>
  <c r="Q34" i="2"/>
  <c r="Q40" i="2"/>
  <c r="Q39" i="2"/>
  <c r="Q41" i="2"/>
  <c r="Q37" i="2"/>
  <c r="O18" i="2"/>
  <c r="O19" i="2"/>
  <c r="O21" i="2"/>
  <c r="O20" i="2"/>
  <c r="O27" i="2"/>
  <c r="O26" i="2"/>
  <c r="O25" i="2"/>
  <c r="O24" i="2"/>
  <c r="O23" i="2"/>
  <c r="O22" i="2"/>
  <c r="P18" i="2"/>
  <c r="P19" i="2"/>
  <c r="P21" i="2"/>
  <c r="P20" i="2"/>
  <c r="P27" i="2"/>
  <c r="P26" i="2"/>
  <c r="P25" i="2"/>
  <c r="P24" i="2"/>
  <c r="P23" i="2"/>
  <c r="P22" i="2"/>
  <c r="Q18" i="2"/>
  <c r="Q19" i="2"/>
  <c r="Q21" i="2"/>
  <c r="Q20" i="2"/>
  <c r="Q27" i="2"/>
  <c r="Q26" i="2"/>
  <c r="Q25" i="2"/>
  <c r="Q24" i="2"/>
  <c r="Q23" i="2"/>
  <c r="Q22" i="2"/>
  <c r="O4" i="2"/>
  <c r="O7" i="2"/>
  <c r="O6" i="2"/>
  <c r="O5" i="2"/>
  <c r="O8" i="2"/>
  <c r="O11" i="2"/>
  <c r="O10" i="2"/>
  <c r="O9" i="2"/>
  <c r="O12" i="2"/>
  <c r="O13" i="2"/>
  <c r="P4" i="2"/>
  <c r="P7" i="2"/>
  <c r="P6" i="2"/>
  <c r="P5" i="2"/>
  <c r="P8" i="2"/>
  <c r="P11" i="2"/>
  <c r="P10" i="2"/>
  <c r="P9" i="2"/>
  <c r="P12" i="2"/>
  <c r="P13" i="2"/>
  <c r="Q4" i="2"/>
  <c r="Q7" i="2"/>
  <c r="Q6" i="2"/>
  <c r="Q5" i="2"/>
  <c r="Q8" i="2"/>
  <c r="Q11" i="2"/>
  <c r="Q10" i="2"/>
  <c r="Q9" i="2"/>
  <c r="Q12" i="2"/>
  <c r="Q13" i="2"/>
  <c r="J14" i="2"/>
  <c r="K14" i="2"/>
  <c r="L14" i="2"/>
  <c r="M14" i="2"/>
  <c r="N14" i="2"/>
  <c r="J28" i="2"/>
  <c r="K28" i="2"/>
  <c r="L28" i="2"/>
  <c r="M28" i="2"/>
  <c r="N28" i="2"/>
  <c r="J42" i="2"/>
  <c r="K42" i="2"/>
  <c r="L42" i="2"/>
  <c r="M42" i="2"/>
  <c r="N42" i="2"/>
  <c r="J56" i="2"/>
  <c r="K56" i="2"/>
  <c r="L56" i="2"/>
  <c r="M56" i="2"/>
  <c r="N56" i="2"/>
  <c r="D56" i="2"/>
  <c r="E56" i="2"/>
  <c r="F56" i="2"/>
  <c r="G56" i="2"/>
  <c r="H56" i="2"/>
  <c r="I56" i="2"/>
  <c r="C56" i="2"/>
  <c r="D42" i="2"/>
  <c r="E42" i="2"/>
  <c r="F42" i="2"/>
  <c r="G42" i="2"/>
  <c r="H42" i="2"/>
  <c r="I42" i="2"/>
  <c r="C42" i="2"/>
  <c r="D28" i="2"/>
  <c r="E28" i="2"/>
  <c r="F28" i="2"/>
  <c r="G28" i="2"/>
  <c r="H28" i="2"/>
  <c r="I28" i="2"/>
  <c r="C28" i="2"/>
  <c r="I14" i="2"/>
  <c r="H14" i="2"/>
  <c r="G14" i="2"/>
  <c r="F14" i="2"/>
  <c r="E14" i="2"/>
  <c r="D14" i="2"/>
  <c r="C14" i="2"/>
  <c r="Q60" i="2"/>
  <c r="P60" i="2"/>
  <c r="O60" i="2"/>
  <c r="Q49" i="1"/>
  <c r="P49" i="1"/>
  <c r="O49" i="1"/>
  <c r="P45" i="1" l="1"/>
  <c r="O45" i="1"/>
  <c r="Q45" i="1"/>
  <c r="Q42" i="2"/>
  <c r="O42" i="2"/>
  <c r="P42" i="2"/>
  <c r="O56" i="2"/>
  <c r="P56" i="2"/>
  <c r="Q56" i="2"/>
  <c r="O34" i="1"/>
  <c r="P34" i="1"/>
  <c r="Q34" i="1"/>
  <c r="O23" i="1"/>
  <c r="Q28" i="2"/>
  <c r="O28" i="2"/>
  <c r="P28" i="2"/>
  <c r="Q12" i="1"/>
  <c r="P12" i="1"/>
  <c r="O12" i="1"/>
  <c r="P23" i="1"/>
  <c r="Q23" i="1"/>
  <c r="P14" i="2"/>
  <c r="Q14" i="2"/>
  <c r="O14" i="2"/>
</calcChain>
</file>

<file path=xl/sharedStrings.xml><?xml version="1.0" encoding="utf-8"?>
<sst xmlns="http://schemas.openxmlformats.org/spreadsheetml/2006/main" count="629" uniqueCount="75">
  <si>
    <t>JANEIRO</t>
  </si>
  <si>
    <t>MATERIAL CONSUMO SETOR</t>
  </si>
  <si>
    <t>LOJA 01</t>
  </si>
  <si>
    <t>LOJA 02</t>
  </si>
  <si>
    <t>LOJA 03</t>
  </si>
  <si>
    <t>LOJA 07</t>
  </si>
  <si>
    <t>CD</t>
  </si>
  <si>
    <t>CONSUMO SETOR ACOUGUE</t>
  </si>
  <si>
    <t>CONSUMO SETOR FLV</t>
  </si>
  <si>
    <t>CONSUMO SETOR PADARIA</t>
  </si>
  <si>
    <t>CONSUMO SETOR FRENTE CX</t>
  </si>
  <si>
    <t>CONSUMO SETOR ADMINISTRATIVO</t>
  </si>
  <si>
    <t>CONSUMO SETOR FATIAÇÃO</t>
  </si>
  <si>
    <t>CONSUMO SETOR LOJA / DEPOSITO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</si>
  <si>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</si>
  <si>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</si>
  <si>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</si>
  <si>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</si>
  <si>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</si>
  <si>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</si>
  <si>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</si>
  <si>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</si>
  <si>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</si>
  <si>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</si>
  <si>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</si>
  <si>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MEDIA</t>
  </si>
  <si>
    <t>TOTAL</t>
  </si>
  <si>
    <t>MAXIMO</t>
  </si>
  <si>
    <t>FLV</t>
  </si>
  <si>
    <t>ACOUGUE</t>
  </si>
  <si>
    <t>PADARIA</t>
  </si>
  <si>
    <t>PERDAS FRIOS E CONGELADOS</t>
  </si>
  <si>
    <t>PERDAS PAGAS</t>
  </si>
  <si>
    <t>PERDAS FURTOS</t>
  </si>
  <si>
    <t>BEBIDAS</t>
  </si>
  <si>
    <t>SAIDA DE UM PARA OUTRO</t>
  </si>
  <si>
    <t>SAIDAS</t>
  </si>
  <si>
    <t>PERDAS / SAIDA SETORES</t>
  </si>
  <si>
    <t>2.859.90</t>
  </si>
  <si>
    <t>6.77,51</t>
  </si>
  <si>
    <t>2.280.57</t>
  </si>
  <si>
    <t>3,716,18</t>
  </si>
  <si>
    <t>23,680,15</t>
  </si>
  <si>
    <t>4.857.41</t>
  </si>
  <si>
    <t>TOTAL:</t>
  </si>
  <si>
    <t xml:space="preserve">JANEIRO </t>
  </si>
  <si>
    <t>PAGAS</t>
  </si>
  <si>
    <t>FURTOS</t>
  </si>
  <si>
    <t>PRODUCÃO PADPADARIA</t>
  </si>
  <si>
    <t>FRIOS E CONGELADOS</t>
  </si>
  <si>
    <t>LOJA &amp; DEPOSITO</t>
  </si>
  <si>
    <t>POSICAO FINANCEIRA POR ESTOQUE</t>
  </si>
  <si>
    <t>MÊS</t>
  </si>
  <si>
    <t xml:space="preserve">MAIO </t>
  </si>
  <si>
    <t>AGOST</t>
  </si>
  <si>
    <t>LOJA 04</t>
  </si>
  <si>
    <t xml:space="preserve">                    </t>
  </si>
  <si>
    <t xml:space="preserve">CONSUMO SETOR PRODUCAO </t>
  </si>
  <si>
    <t xml:space="preserve">  </t>
  </si>
  <si>
    <t>126.96</t>
  </si>
  <si>
    <t>513.66</t>
  </si>
  <si>
    <t>11.676.06</t>
  </si>
  <si>
    <t>11.243.90</t>
  </si>
  <si>
    <t>252,102,24</t>
  </si>
  <si>
    <t>LOJA 4</t>
  </si>
  <si>
    <t>110,673,74</t>
  </si>
  <si>
    <t>31,115,41</t>
  </si>
  <si>
    <t>PERDAS FLV</t>
  </si>
  <si>
    <t>PERDAS ACOUGUE</t>
  </si>
  <si>
    <t>PERDAS PADARIA</t>
  </si>
  <si>
    <t>PERDAS PRODUÇÃO PADARIA</t>
  </si>
  <si>
    <t>PERDAS BEBIDAS</t>
  </si>
  <si>
    <t>PERDAS LOJA E DEPOSITO</t>
  </si>
  <si>
    <t>LOJA 06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</si>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</sst>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[$-F800]dddd\,\ mmmm\ dd\,\ yyyy"/>
  </numFmts>
  <fonts count="1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color theme="1" tint="0.14999847407452621"/>
      <name val="Arial"/>
      <family val="2"/>
    </font>
    <font>
      <b/>
      <sz val="10"/>
      <color rgb="FF7030A0"/>
      <name val="Arial"/>
      <family val="2"/>
    </font>
    <font>
      <b/>
      <sz val="10"/>
      <color rgb="FF00B050"/>
      <name val="Arial"/>
      <family val="2"/>
    </font>
    <font>
      <b/>
      <sz val="10"/>
      <color rgb="FF3F3F3F"/>
      <name val="Arial"/>
      <family val="2"/>
    </font>
    <font>
      <b/>
      <u/>
      <sz val="10"/>
      <color theme="1" tint="0.14999847407452621"/>
      <name val="Arial"/>
      <family val="2"/>
    </font>
    <font>
      <b/>
      <u/>
      <sz val="10"/>
      <color theme="1"/>
      <name val="Arial"/>
      <family val="2"/>
    </font>
    <font>
      <b/>
      <sz val="10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00B050"/>
        <bgColor indexed="64"/>
      </patternFill>
    </fill>
  </fills>
  <borders count="8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double">
        <color theme="1"/>
      </left>
      <right/>
      <top style="double">
        <color theme="1"/>
      </top>
      <bottom/>
      <diagonal/>
    </border>
    <border>
      <left/>
      <right/>
      <top style="double">
        <color theme="1"/>
      </top>
      <bottom/>
      <diagonal/>
    </border>
    <border>
      <left/>
      <right style="double">
        <color theme="1"/>
      </right>
      <top style="double">
        <color theme="1"/>
      </top>
      <bottom/>
      <diagonal/>
    </border>
    <border>
      <left style="double">
        <color theme="1"/>
      </left>
      <right/>
      <top/>
      <bottom/>
      <diagonal/>
    </border>
    <border>
      <left/>
      <right style="double">
        <color theme="1"/>
      </right>
      <top/>
      <bottom/>
      <diagonal/>
    </border>
    <border>
      <left style="double">
        <color theme="1"/>
      </left>
      <right style="medium">
        <color indexed="64"/>
      </right>
      <top/>
      <bottom/>
      <diagonal/>
    </border>
    <border>
      <left style="double">
        <color theme="1"/>
      </left>
      <right/>
      <top/>
      <bottom style="double">
        <color theme="1"/>
      </bottom>
      <diagonal/>
    </border>
    <border>
      <left/>
      <right/>
      <top/>
      <bottom style="double">
        <color theme="1"/>
      </bottom>
      <diagonal/>
    </border>
    <border>
      <left/>
      <right style="double">
        <color theme="1"/>
      </right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theme="1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04">
    <xf numFmtId="0" fontId="0" fillId="0" borderId="0" xfId="0"/>
    <xf numFmtId="0" fontId="0" fillId="0" borderId="0" xfId="0"/>
    <xf numFmtId="164" fontId="0" fillId="0" borderId="0" xfId="0" applyNumberFormat="1"/>
    <xf numFmtId="0" fontId="3" fillId="0" borderId="13" xfId="0" applyFont="1" applyBorder="1" applyAlignment="1">
      <alignment horizontal="center" vertical="center" wrapText="1"/>
    </xf>
    <xf numFmtId="164" fontId="0" fillId="0" borderId="2" xfId="0" applyNumberFormat="1" applyBorder="1"/>
    <xf numFmtId="0" fontId="0" fillId="0" borderId="2" xfId="0" applyBorder="1"/>
    <xf numFmtId="4" fontId="2" fillId="0" borderId="2" xfId="1" applyNumberFormat="1" applyFont="1" applyFill="1" applyBorder="1" applyAlignment="1">
      <alignment horizontal="center" vertical="center"/>
    </xf>
    <xf numFmtId="164" fontId="0" fillId="0" borderId="33" xfId="0" applyNumberFormat="1" applyBorder="1"/>
    <xf numFmtId="0" fontId="0" fillId="0" borderId="21" xfId="0" applyBorder="1"/>
    <xf numFmtId="4" fontId="2" fillId="0" borderId="2" xfId="0" applyNumberFormat="1" applyFont="1" applyFill="1" applyBorder="1" applyAlignment="1">
      <alignment horizontal="center" vertical="center"/>
    </xf>
    <xf numFmtId="4" fontId="2" fillId="0" borderId="33" xfId="1" applyNumberFormat="1" applyFont="1" applyFill="1" applyBorder="1" applyAlignment="1">
      <alignment horizontal="center" vertical="center"/>
    </xf>
    <xf numFmtId="4" fontId="2" fillId="0" borderId="33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/>
    <xf numFmtId="0" fontId="0" fillId="11" borderId="0" xfId="0" applyFill="1"/>
    <xf numFmtId="0" fontId="0" fillId="11" borderId="0" xfId="0" applyFill="1" applyBorder="1"/>
    <xf numFmtId="43" fontId="4" fillId="3" borderId="14" xfId="0" applyNumberFormat="1" applyFont="1" applyFill="1" applyBorder="1" applyAlignment="1">
      <alignment horizontal="center" vertical="center"/>
    </xf>
    <xf numFmtId="43" fontId="4" fillId="3" borderId="16" xfId="0" applyNumberFormat="1" applyFont="1" applyFill="1" applyBorder="1" applyAlignment="1">
      <alignment horizontal="center" vertical="center"/>
    </xf>
    <xf numFmtId="43" fontId="4" fillId="3" borderId="17" xfId="0" applyNumberFormat="1" applyFont="1" applyFill="1" applyBorder="1" applyAlignment="1">
      <alignment horizontal="center" vertical="center"/>
    </xf>
    <xf numFmtId="43" fontId="4" fillId="3" borderId="15" xfId="0" applyNumberFormat="1" applyFont="1" applyFill="1" applyBorder="1" applyAlignment="1">
      <alignment horizontal="center" vertical="center"/>
    </xf>
    <xf numFmtId="49" fontId="5" fillId="7" borderId="26" xfId="0" applyNumberFormat="1" applyFont="1" applyFill="1" applyBorder="1" applyAlignment="1">
      <alignment horizontal="center" vertical="center"/>
    </xf>
    <xf numFmtId="49" fontId="5" fillId="7" borderId="14" xfId="0" applyNumberFormat="1" applyFont="1" applyFill="1" applyBorder="1" applyAlignment="1">
      <alignment horizontal="center" vertical="center"/>
    </xf>
    <xf numFmtId="43" fontId="5" fillId="0" borderId="30" xfId="0" applyNumberFormat="1" applyFont="1" applyFill="1" applyBorder="1" applyAlignment="1">
      <alignment horizontal="center" vertical="center"/>
    </xf>
    <xf numFmtId="43" fontId="6" fillId="0" borderId="29" xfId="1" applyNumberFormat="1" applyFont="1" applyFill="1" applyBorder="1" applyAlignment="1">
      <alignment horizontal="center" vertical="center"/>
    </xf>
    <xf numFmtId="43" fontId="6" fillId="0" borderId="27" xfId="1" applyNumberFormat="1" applyFont="1" applyFill="1" applyBorder="1" applyAlignment="1">
      <alignment horizontal="center" vertical="center"/>
    </xf>
    <xf numFmtId="43" fontId="6" fillId="0" borderId="2" xfId="1" applyNumberFormat="1" applyFont="1" applyFill="1" applyBorder="1" applyAlignment="1">
      <alignment horizontal="center" vertical="center"/>
    </xf>
    <xf numFmtId="43" fontId="6" fillId="0" borderId="23" xfId="0" applyNumberFormat="1" applyFont="1" applyFill="1" applyBorder="1" applyAlignment="1">
      <alignment horizontal="center" vertical="center"/>
    </xf>
    <xf numFmtId="43" fontId="6" fillId="0" borderId="30" xfId="0" applyNumberFormat="1" applyFont="1" applyFill="1" applyBorder="1" applyAlignment="1">
      <alignment horizontal="center" vertical="center"/>
    </xf>
    <xf numFmtId="43" fontId="6" fillId="0" borderId="29" xfId="0" applyNumberFormat="1" applyFont="1" applyFill="1" applyBorder="1" applyAlignment="1">
      <alignment horizontal="center" vertical="center"/>
    </xf>
    <xf numFmtId="43" fontId="6" fillId="0" borderId="45" xfId="0" applyNumberFormat="1" applyFont="1" applyFill="1" applyBorder="1" applyAlignment="1">
      <alignment horizontal="center" vertical="center"/>
    </xf>
    <xf numFmtId="43" fontId="5" fillId="0" borderId="24" xfId="0" applyNumberFormat="1" applyFont="1" applyFill="1" applyBorder="1" applyAlignment="1">
      <alignment horizontal="center" vertical="center"/>
    </xf>
    <xf numFmtId="43" fontId="6" fillId="0" borderId="24" xfId="0" applyNumberFormat="1" applyFont="1" applyFill="1" applyBorder="1" applyAlignment="1">
      <alignment horizontal="center" vertical="center"/>
    </xf>
    <xf numFmtId="43" fontId="6" fillId="0" borderId="27" xfId="0" applyNumberFormat="1" applyFont="1" applyFill="1" applyBorder="1" applyAlignment="1">
      <alignment horizontal="center" vertical="center"/>
    </xf>
    <xf numFmtId="43" fontId="6" fillId="0" borderId="47" xfId="0" applyNumberFormat="1" applyFont="1" applyFill="1" applyBorder="1" applyAlignment="1">
      <alignment horizontal="center" vertical="center"/>
    </xf>
    <xf numFmtId="43" fontId="7" fillId="10" borderId="24" xfId="0" applyNumberFormat="1" applyFont="1" applyFill="1" applyBorder="1" applyAlignment="1">
      <alignment horizontal="center" vertical="center"/>
    </xf>
    <xf numFmtId="43" fontId="5" fillId="0" borderId="42" xfId="0" applyNumberFormat="1" applyFont="1" applyFill="1" applyBorder="1" applyAlignment="1">
      <alignment horizontal="center" vertical="center"/>
    </xf>
    <xf numFmtId="43" fontId="5" fillId="0" borderId="25" xfId="0" applyNumberFormat="1" applyFont="1" applyFill="1" applyBorder="1" applyAlignment="1">
      <alignment horizontal="center" vertical="center"/>
    </xf>
    <xf numFmtId="43" fontId="6" fillId="0" borderId="28" xfId="1" applyNumberFormat="1" applyFont="1" applyFill="1" applyBorder="1" applyAlignment="1">
      <alignment horizontal="center" vertical="center"/>
    </xf>
    <xf numFmtId="43" fontId="6" fillId="0" borderId="7" xfId="1" applyNumberFormat="1" applyFont="1" applyFill="1" applyBorder="1" applyAlignment="1">
      <alignment horizontal="center" vertical="center"/>
    </xf>
    <xf numFmtId="43" fontId="6" fillId="0" borderId="25" xfId="0" applyNumberFormat="1" applyFont="1" applyFill="1" applyBorder="1" applyAlignment="1">
      <alignment horizontal="center" vertical="center"/>
    </xf>
    <xf numFmtId="43" fontId="6" fillId="0" borderId="28" xfId="0" applyNumberFormat="1" applyFont="1" applyFill="1" applyBorder="1" applyAlignment="1">
      <alignment horizontal="center" vertical="center"/>
    </xf>
    <xf numFmtId="43" fontId="6" fillId="0" borderId="55" xfId="0" applyNumberFormat="1" applyFont="1" applyFill="1" applyBorder="1" applyAlignment="1">
      <alignment horizontal="center" vertical="center"/>
    </xf>
    <xf numFmtId="4" fontId="6" fillId="8" borderId="56" xfId="0" applyNumberFormat="1" applyFont="1" applyFill="1" applyBorder="1" applyAlignment="1">
      <alignment horizontal="center" vertical="center"/>
    </xf>
    <xf numFmtId="4" fontId="6" fillId="8" borderId="9" xfId="0" applyNumberFormat="1" applyFont="1" applyFill="1" applyBorder="1" applyAlignment="1">
      <alignment horizontal="center" vertical="center"/>
    </xf>
    <xf numFmtId="4" fontId="6" fillId="8" borderId="57" xfId="0" applyNumberFormat="1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4" fontId="6" fillId="2" borderId="3" xfId="1" applyNumberFormat="1" applyFont="1" applyFill="1" applyBorder="1" applyAlignment="1">
      <alignment horizontal="center" vertical="center"/>
    </xf>
    <xf numFmtId="4" fontId="6" fillId="2" borderId="44" xfId="1" applyNumberFormat="1" applyFont="1" applyBorder="1" applyAlignment="1">
      <alignment horizontal="center" vertical="center"/>
    </xf>
    <xf numFmtId="4" fontId="6" fillId="2" borderId="2" xfId="1" applyNumberFormat="1" applyFont="1" applyFill="1" applyBorder="1" applyAlignment="1">
      <alignment horizontal="center" vertical="center"/>
    </xf>
    <xf numFmtId="4" fontId="6" fillId="4" borderId="23" xfId="0" applyNumberFormat="1" applyFont="1" applyFill="1" applyBorder="1" applyAlignment="1">
      <alignment horizontal="center" vertical="center"/>
    </xf>
    <xf numFmtId="4" fontId="6" fillId="4" borderId="37" xfId="0" applyNumberFormat="1" applyFont="1" applyFill="1" applyBorder="1" applyAlignment="1">
      <alignment horizontal="center" vertical="center"/>
    </xf>
    <xf numFmtId="4" fontId="6" fillId="4" borderId="30" xfId="0" applyNumberFormat="1" applyFont="1" applyFill="1" applyBorder="1" applyAlignment="1">
      <alignment horizontal="center" vertical="center"/>
    </xf>
    <xf numFmtId="4" fontId="6" fillId="4" borderId="29" xfId="0" applyNumberFormat="1" applyFont="1" applyFill="1" applyBorder="1" applyAlignment="1">
      <alignment horizontal="center" vertical="center"/>
    </xf>
    <xf numFmtId="0" fontId="6" fillId="11" borderId="45" xfId="0" applyFont="1" applyFill="1" applyBorder="1" applyAlignment="1">
      <alignment horizontal="center" vertical="center"/>
    </xf>
    <xf numFmtId="4" fontId="6" fillId="2" borderId="43" xfId="1" applyNumberFormat="1" applyFont="1" applyBorder="1" applyAlignment="1">
      <alignment horizontal="center" vertical="center"/>
    </xf>
    <xf numFmtId="4" fontId="6" fillId="0" borderId="46" xfId="0" applyNumberFormat="1" applyFont="1" applyFill="1" applyBorder="1" applyAlignment="1">
      <alignment horizontal="center" vertical="center"/>
    </xf>
    <xf numFmtId="0" fontId="6" fillId="2" borderId="43" xfId="1" applyFont="1" applyBorder="1" applyAlignment="1">
      <alignment horizontal="center" vertical="center"/>
    </xf>
    <xf numFmtId="4" fontId="6" fillId="4" borderId="24" xfId="0" applyNumberFormat="1" applyFont="1" applyFill="1" applyBorder="1" applyAlignment="1">
      <alignment horizontal="center" vertical="center"/>
    </xf>
    <xf numFmtId="4" fontId="6" fillId="4" borderId="27" xfId="0" applyNumberFormat="1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4" fontId="6" fillId="0" borderId="47" xfId="0" applyNumberFormat="1" applyFont="1" applyFill="1" applyBorder="1" applyAlignment="1">
      <alignment horizontal="center" vertical="center"/>
    </xf>
    <xf numFmtId="0" fontId="6" fillId="0" borderId="47" xfId="0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4" fontId="6" fillId="2" borderId="7" xfId="1" applyNumberFormat="1" applyFont="1" applyFill="1" applyBorder="1" applyAlignment="1">
      <alignment horizontal="center" vertical="center"/>
    </xf>
    <xf numFmtId="4" fontId="6" fillId="2" borderId="8" xfId="1" applyNumberFormat="1" applyFont="1" applyBorder="1" applyAlignment="1">
      <alignment horizontal="center" vertical="center"/>
    </xf>
    <xf numFmtId="4" fontId="6" fillId="5" borderId="25" xfId="0" applyNumberFormat="1" applyFont="1" applyFill="1" applyBorder="1" applyAlignment="1">
      <alignment horizontal="center" vertical="center"/>
    </xf>
    <xf numFmtId="4" fontId="6" fillId="5" borderId="28" xfId="0" applyNumberFormat="1" applyFont="1" applyFill="1" applyBorder="1" applyAlignment="1">
      <alignment horizontal="center" vertical="center"/>
    </xf>
    <xf numFmtId="4" fontId="6" fillId="0" borderId="55" xfId="0" applyNumberFormat="1" applyFont="1" applyFill="1" applyBorder="1" applyAlignment="1">
      <alignment horizontal="center" vertical="center"/>
    </xf>
    <xf numFmtId="4" fontId="5" fillId="8" borderId="51" xfId="0" applyNumberFormat="1" applyFont="1" applyFill="1" applyBorder="1" applyAlignment="1">
      <alignment horizontal="center" vertical="center"/>
    </xf>
    <xf numFmtId="4" fontId="5" fillId="9" borderId="4" xfId="0" applyNumberFormat="1" applyFont="1" applyFill="1" applyBorder="1" applyAlignment="1">
      <alignment horizontal="center" vertical="center"/>
    </xf>
    <xf numFmtId="4" fontId="6" fillId="0" borderId="45" xfId="0" applyNumberFormat="1" applyFont="1" applyFill="1" applyBorder="1" applyAlignment="1">
      <alignment horizontal="center" vertical="center"/>
    </xf>
    <xf numFmtId="4" fontId="6" fillId="2" borderId="24" xfId="1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4" borderId="40" xfId="0" applyFont="1" applyFill="1" applyBorder="1" applyAlignment="1">
      <alignment horizontal="center" vertical="center"/>
    </xf>
    <xf numFmtId="4" fontId="6" fillId="4" borderId="25" xfId="0" applyNumberFormat="1" applyFont="1" applyFill="1" applyBorder="1" applyAlignment="1">
      <alignment horizontal="center" vertical="center"/>
    </xf>
    <xf numFmtId="4" fontId="5" fillId="8" borderId="52" xfId="0" applyNumberFormat="1" applyFont="1" applyFill="1" applyBorder="1" applyAlignment="1">
      <alignment horizontal="center" vertical="center"/>
    </xf>
    <xf numFmtId="0" fontId="6" fillId="0" borderId="46" xfId="0" applyFont="1" applyFill="1" applyBorder="1" applyAlignment="1">
      <alignment horizontal="center" vertical="center"/>
    </xf>
    <xf numFmtId="4" fontId="6" fillId="4" borderId="39" xfId="0" applyNumberFormat="1" applyFont="1" applyFill="1" applyBorder="1" applyAlignment="1">
      <alignment horizontal="center" vertical="center"/>
    </xf>
    <xf numFmtId="4" fontId="6" fillId="4" borderId="40" xfId="0" applyNumberFormat="1" applyFont="1" applyFill="1" applyBorder="1" applyAlignment="1">
      <alignment horizontal="center" vertical="center"/>
    </xf>
    <xf numFmtId="4" fontId="6" fillId="0" borderId="48" xfId="0" applyNumberFormat="1" applyFont="1" applyFill="1" applyBorder="1" applyAlignment="1">
      <alignment horizontal="center" vertical="center"/>
    </xf>
    <xf numFmtId="4" fontId="6" fillId="4" borderId="9" xfId="0" applyNumberFormat="1" applyFont="1" applyFill="1" applyBorder="1" applyAlignment="1">
      <alignment horizontal="center" vertical="center"/>
    </xf>
    <xf numFmtId="4" fontId="6" fillId="4" borderId="31" xfId="0" applyNumberFormat="1" applyFont="1" applyFill="1" applyBorder="1" applyAlignment="1">
      <alignment horizontal="center" vertical="center"/>
    </xf>
    <xf numFmtId="4" fontId="6" fillId="0" borderId="28" xfId="0" applyNumberFormat="1" applyFont="1" applyFill="1" applyBorder="1" applyAlignment="1">
      <alignment horizontal="center" vertical="center"/>
    </xf>
    <xf numFmtId="4" fontId="5" fillId="8" borderId="17" xfId="0" applyNumberFormat="1" applyFont="1" applyFill="1" applyBorder="1"/>
    <xf numFmtId="0" fontId="5" fillId="9" borderId="0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7" borderId="26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4" fontId="6" fillId="2" borderId="28" xfId="1" applyNumberFormat="1" applyFont="1" applyFill="1" applyBorder="1" applyAlignment="1">
      <alignment horizontal="center" vertical="center"/>
    </xf>
    <xf numFmtId="4" fontId="6" fillId="2" borderId="8" xfId="1" applyNumberFormat="1" applyFont="1" applyFill="1" applyBorder="1" applyAlignment="1">
      <alignment horizontal="center" vertical="center"/>
    </xf>
    <xf numFmtId="4" fontId="6" fillId="4" borderId="12" xfId="0" applyNumberFormat="1" applyFont="1" applyFill="1" applyBorder="1" applyAlignment="1">
      <alignment horizontal="center" vertical="center"/>
    </xf>
    <xf numFmtId="4" fontId="5" fillId="4" borderId="14" xfId="0" applyNumberFormat="1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4" fontId="5" fillId="4" borderId="17" xfId="0" applyNumberFormat="1" applyFont="1" applyFill="1" applyBorder="1" applyAlignment="1">
      <alignment horizontal="center" vertical="center"/>
    </xf>
    <xf numFmtId="0" fontId="4" fillId="3" borderId="70" xfId="0" applyFont="1" applyFill="1" applyBorder="1" applyAlignment="1">
      <alignment horizontal="center" vertical="center"/>
    </xf>
    <xf numFmtId="4" fontId="6" fillId="0" borderId="71" xfId="0" applyNumberFormat="1" applyFont="1" applyFill="1" applyBorder="1" applyAlignment="1">
      <alignment horizontal="center" vertical="center"/>
    </xf>
    <xf numFmtId="4" fontId="6" fillId="0" borderId="72" xfId="0" applyNumberFormat="1" applyFont="1" applyFill="1" applyBorder="1" applyAlignment="1">
      <alignment horizontal="center" vertical="center"/>
    </xf>
    <xf numFmtId="0" fontId="6" fillId="0" borderId="72" xfId="0" applyFont="1" applyFill="1" applyBorder="1" applyAlignment="1">
      <alignment horizontal="center" vertical="center"/>
    </xf>
    <xf numFmtId="0" fontId="6" fillId="0" borderId="73" xfId="0" applyFont="1" applyFill="1" applyBorder="1" applyAlignment="1">
      <alignment horizontal="center" vertical="center"/>
    </xf>
    <xf numFmtId="4" fontId="6" fillId="0" borderId="74" xfId="0" applyNumberFormat="1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4" fontId="6" fillId="0" borderId="38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>
      <alignment horizontal="center" vertical="center"/>
    </xf>
    <xf numFmtId="4" fontId="9" fillId="0" borderId="29" xfId="1" applyNumberFormat="1" applyFont="1" applyFill="1" applyBorder="1" applyAlignment="1">
      <alignment horizontal="center" vertical="center"/>
    </xf>
    <xf numFmtId="4" fontId="6" fillId="0" borderId="37" xfId="0" applyNumberFormat="1" applyFont="1" applyFill="1" applyBorder="1" applyAlignment="1">
      <alignment horizontal="center" vertical="center"/>
    </xf>
    <xf numFmtId="4" fontId="6" fillId="0" borderId="30" xfId="0" applyNumberFormat="1" applyFont="1" applyFill="1" applyBorder="1" applyAlignment="1">
      <alignment horizontal="center" vertical="center"/>
    </xf>
    <xf numFmtId="4" fontId="6" fillId="0" borderId="29" xfId="0" applyNumberFormat="1" applyFont="1" applyFill="1" applyBorder="1" applyAlignment="1">
      <alignment horizontal="center" vertical="center"/>
    </xf>
    <xf numFmtId="4" fontId="6" fillId="0" borderId="33" xfId="0" applyNumberFormat="1" applyFont="1" applyFill="1" applyBorder="1" applyAlignment="1">
      <alignment horizontal="center" vertical="center"/>
    </xf>
    <xf numFmtId="4" fontId="6" fillId="0" borderId="32" xfId="0" applyNumberFormat="1" applyFont="1" applyFill="1" applyBorder="1" applyAlignment="1">
      <alignment horizontal="center" vertical="center"/>
    </xf>
    <xf numFmtId="4" fontId="5" fillId="5" borderId="23" xfId="0" applyNumberFormat="1" applyFont="1" applyFill="1" applyBorder="1"/>
    <xf numFmtId="4" fontId="5" fillId="5" borderId="29" xfId="0" applyNumberFormat="1" applyFont="1" applyFill="1" applyBorder="1"/>
    <xf numFmtId="0" fontId="6" fillId="4" borderId="19" xfId="0" applyFont="1" applyFill="1" applyBorder="1" applyAlignment="1">
      <alignment horizontal="center" vertical="center"/>
    </xf>
    <xf numFmtId="4" fontId="6" fillId="0" borderId="19" xfId="0" applyNumberFormat="1" applyFont="1" applyFill="1" applyBorder="1" applyAlignment="1">
      <alignment horizontal="center" vertical="center"/>
    </xf>
    <xf numFmtId="4" fontId="6" fillId="0" borderId="24" xfId="0" applyNumberFormat="1" applyFont="1" applyFill="1" applyBorder="1" applyAlignment="1">
      <alignment horizontal="center" vertical="center"/>
    </xf>
    <xf numFmtId="4" fontId="9" fillId="0" borderId="27" xfId="1" applyNumberFormat="1" applyFont="1" applyFill="1" applyBorder="1" applyAlignment="1">
      <alignment horizontal="center" vertical="center"/>
    </xf>
    <xf numFmtId="4" fontId="6" fillId="0" borderId="27" xfId="0" applyNumberFormat="1" applyFont="1" applyFill="1" applyBorder="1" applyAlignment="1">
      <alignment horizontal="center" vertical="center"/>
    </xf>
    <xf numFmtId="4" fontId="6" fillId="0" borderId="3" xfId="0" applyNumberFormat="1" applyFont="1" applyFill="1" applyBorder="1" applyAlignment="1">
      <alignment horizontal="center" vertical="center"/>
    </xf>
    <xf numFmtId="4" fontId="5" fillId="5" borderId="24" xfId="0" applyNumberFormat="1" applyFont="1" applyFill="1" applyBorder="1"/>
    <xf numFmtId="4" fontId="5" fillId="5" borderId="37" xfId="0" applyNumberFormat="1" applyFont="1" applyFill="1" applyBorder="1"/>
    <xf numFmtId="4" fontId="6" fillId="0" borderId="2" xfId="0" applyNumberFormat="1" applyFont="1" applyFill="1" applyBorder="1" applyAlignment="1">
      <alignment horizontal="center" vertical="center"/>
    </xf>
    <xf numFmtId="4" fontId="5" fillId="5" borderId="30" xfId="0" applyNumberFormat="1" applyFont="1" applyFill="1" applyBorder="1"/>
    <xf numFmtId="0" fontId="6" fillId="4" borderId="19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0" fontId="6" fillId="0" borderId="33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center"/>
    </xf>
    <xf numFmtId="0" fontId="6" fillId="0" borderId="27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4" fontId="6" fillId="0" borderId="24" xfId="0" applyNumberFormat="1" applyFont="1" applyFill="1" applyBorder="1" applyAlignment="1">
      <alignment horizontal="center"/>
    </xf>
    <xf numFmtId="4" fontId="5" fillId="0" borderId="0" xfId="0" applyNumberFormat="1" applyFont="1" applyFill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4" fontId="6" fillId="0" borderId="20" xfId="0" applyNumberFormat="1" applyFont="1" applyFill="1" applyBorder="1" applyAlignment="1">
      <alignment horizontal="center" vertical="center"/>
    </xf>
    <xf numFmtId="4" fontId="6" fillId="0" borderId="25" xfId="0" applyNumberFormat="1" applyFont="1" applyFill="1" applyBorder="1" applyAlignment="1">
      <alignment horizontal="center" vertical="center"/>
    </xf>
    <xf numFmtId="4" fontId="9" fillId="0" borderId="28" xfId="1" applyNumberFormat="1" applyFont="1" applyFill="1" applyBorder="1" applyAlignment="1">
      <alignment horizontal="center" vertical="center"/>
    </xf>
    <xf numFmtId="4" fontId="6" fillId="0" borderId="25" xfId="0" applyNumberFormat="1" applyFont="1" applyFill="1" applyBorder="1" applyAlignment="1">
      <alignment horizontal="center"/>
    </xf>
    <xf numFmtId="4" fontId="6" fillId="0" borderId="7" xfId="0" applyNumberFormat="1" applyFont="1" applyFill="1" applyBorder="1" applyAlignment="1">
      <alignment horizontal="center" vertical="center"/>
    </xf>
    <xf numFmtId="4" fontId="6" fillId="0" borderId="36" xfId="0" applyNumberFormat="1" applyFont="1" applyFill="1" applyBorder="1" applyAlignment="1">
      <alignment horizontal="center" vertical="center"/>
    </xf>
    <xf numFmtId="4" fontId="5" fillId="5" borderId="31" xfId="0" applyNumberFormat="1" applyFont="1" applyFill="1" applyBorder="1"/>
    <xf numFmtId="4" fontId="5" fillId="5" borderId="9" xfId="0" applyNumberFormat="1" applyFont="1" applyFill="1" applyBorder="1"/>
    <xf numFmtId="4" fontId="5" fillId="8" borderId="16" xfId="0" applyNumberFormat="1" applyFont="1" applyFill="1" applyBorder="1"/>
    <xf numFmtId="4" fontId="5" fillId="11" borderId="0" xfId="0" applyNumberFormat="1" applyFont="1" applyFill="1" applyBorder="1"/>
    <xf numFmtId="4" fontId="5" fillId="11" borderId="4" xfId="0" applyNumberFormat="1" applyFont="1" applyFill="1" applyBorder="1"/>
    <xf numFmtId="0" fontId="6" fillId="4" borderId="23" xfId="0" applyFont="1" applyFill="1" applyBorder="1" applyAlignment="1">
      <alignment horizontal="center" vertical="center"/>
    </xf>
    <xf numFmtId="4" fontId="9" fillId="0" borderId="35" xfId="1" applyNumberFormat="1" applyFont="1" applyFill="1" applyBorder="1" applyAlignment="1">
      <alignment horizontal="center" vertical="center"/>
    </xf>
    <xf numFmtId="4" fontId="9" fillId="0" borderId="21" xfId="1" applyNumberFormat="1" applyFont="1" applyFill="1" applyBorder="1" applyAlignment="1">
      <alignment horizontal="center" vertical="center"/>
    </xf>
    <xf numFmtId="4" fontId="5" fillId="5" borderId="27" xfId="0" applyNumberFormat="1" applyFont="1" applyFill="1" applyBorder="1"/>
    <xf numFmtId="0" fontId="6" fillId="4" borderId="24" xfId="0" applyFont="1" applyFill="1" applyBorder="1" applyAlignment="1">
      <alignment horizontal="center" vertical="center" wrapText="1"/>
    </xf>
    <xf numFmtId="0" fontId="6" fillId="0" borderId="27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5" borderId="25" xfId="0" applyFont="1" applyFill="1" applyBorder="1" applyAlignment="1">
      <alignment horizontal="center" vertical="center"/>
    </xf>
    <xf numFmtId="4" fontId="6" fillId="0" borderId="28" xfId="0" applyNumberFormat="1" applyFont="1" applyFill="1" applyBorder="1" applyAlignment="1">
      <alignment horizontal="center"/>
    </xf>
    <xf numFmtId="4" fontId="9" fillId="0" borderId="22" xfId="1" applyNumberFormat="1" applyFont="1" applyFill="1" applyBorder="1" applyAlignment="1">
      <alignment horizontal="center" vertical="center"/>
    </xf>
    <xf numFmtId="4" fontId="6" fillId="0" borderId="7" xfId="0" applyNumberFormat="1" applyFont="1" applyFill="1" applyBorder="1" applyAlignment="1">
      <alignment horizontal="center"/>
    </xf>
    <xf numFmtId="0" fontId="6" fillId="0" borderId="29" xfId="0" applyFont="1" applyFill="1" applyBorder="1" applyAlignment="1">
      <alignment horizontal="center" vertical="center"/>
    </xf>
    <xf numFmtId="0" fontId="6" fillId="0" borderId="27" xfId="0" applyFont="1" applyFill="1" applyBorder="1"/>
    <xf numFmtId="0" fontId="6" fillId="0" borderId="33" xfId="0" applyFont="1" applyFill="1" applyBorder="1"/>
    <xf numFmtId="4" fontId="9" fillId="0" borderId="24" xfId="1" applyNumberFormat="1" applyFont="1" applyFill="1" applyBorder="1" applyAlignment="1">
      <alignment horizontal="center" vertical="center"/>
    </xf>
    <xf numFmtId="4" fontId="6" fillId="0" borderId="40" xfId="0" applyNumberFormat="1" applyFont="1" applyFill="1" applyBorder="1" applyAlignment="1">
      <alignment horizontal="center" vertical="center"/>
    </xf>
    <xf numFmtId="0" fontId="6" fillId="0" borderId="40" xfId="0" applyFont="1" applyFill="1" applyBorder="1" applyAlignment="1">
      <alignment horizontal="center" vertical="center"/>
    </xf>
    <xf numFmtId="0" fontId="6" fillId="0" borderId="39" xfId="0" applyFont="1" applyFill="1" applyBorder="1"/>
    <xf numFmtId="0" fontId="6" fillId="0" borderId="13" xfId="0" applyFont="1" applyFill="1" applyBorder="1" applyAlignment="1">
      <alignment horizontal="center"/>
    </xf>
    <xf numFmtId="0" fontId="6" fillId="0" borderId="34" xfId="0" applyFont="1" applyFill="1" applyBorder="1"/>
    <xf numFmtId="4" fontId="6" fillId="0" borderId="9" xfId="0" applyNumberFormat="1" applyFont="1" applyFill="1" applyBorder="1" applyAlignment="1">
      <alignment horizontal="center" vertical="center"/>
    </xf>
    <xf numFmtId="4" fontId="6" fillId="0" borderId="31" xfId="0" applyNumberFormat="1" applyFont="1" applyFill="1" applyBorder="1" applyAlignment="1">
      <alignment horizontal="center" vertical="center"/>
    </xf>
    <xf numFmtId="4" fontId="6" fillId="0" borderId="6" xfId="0" applyNumberFormat="1" applyFont="1" applyFill="1" applyBorder="1" applyAlignment="1">
      <alignment horizontal="center" vertical="center"/>
    </xf>
    <xf numFmtId="4" fontId="6" fillId="0" borderId="8" xfId="0" applyNumberFormat="1" applyFont="1" applyFill="1" applyBorder="1" applyAlignment="1">
      <alignment horizontal="center" vertical="center"/>
    </xf>
    <xf numFmtId="4" fontId="6" fillId="0" borderId="14" xfId="0" applyNumberFormat="1" applyFont="1" applyFill="1" applyBorder="1" applyAlignment="1">
      <alignment horizontal="center" vertical="center"/>
    </xf>
    <xf numFmtId="4" fontId="6" fillId="0" borderId="12" xfId="0" applyNumberFormat="1" applyFont="1" applyFill="1" applyBorder="1" applyAlignment="1">
      <alignment horizontal="center"/>
    </xf>
    <xf numFmtId="4" fontId="9" fillId="0" borderId="12" xfId="1" applyNumberFormat="1" applyFont="1" applyFill="1" applyBorder="1" applyAlignment="1">
      <alignment horizontal="center" vertical="center"/>
    </xf>
    <xf numFmtId="4" fontId="5" fillId="0" borderId="11" xfId="0" applyNumberFormat="1" applyFont="1" applyFill="1" applyBorder="1"/>
    <xf numFmtId="4" fontId="5" fillId="0" borderId="11" xfId="0" applyNumberFormat="1" applyFont="1" applyFill="1" applyBorder="1" applyAlignment="1">
      <alignment horizontal="center" vertical="center"/>
    </xf>
    <xf numFmtId="4" fontId="5" fillId="0" borderId="11" xfId="0" applyNumberFormat="1" applyFont="1" applyFill="1" applyBorder="1" applyAlignment="1">
      <alignment horizontal="center"/>
    </xf>
    <xf numFmtId="4" fontId="5" fillId="5" borderId="14" xfId="0" applyNumberFormat="1" applyFont="1" applyFill="1" applyBorder="1"/>
    <xf numFmtId="4" fontId="5" fillId="5" borderId="17" xfId="0" applyNumberFormat="1" applyFont="1" applyFill="1" applyBorder="1"/>
    <xf numFmtId="0" fontId="5" fillId="0" borderId="40" xfId="0" applyFont="1" applyFill="1" applyBorder="1" applyAlignment="1">
      <alignment horizontal="center" vertical="center"/>
    </xf>
    <xf numFmtId="4" fontId="5" fillId="0" borderId="39" xfId="0" applyNumberFormat="1" applyFont="1" applyFill="1" applyBorder="1" applyAlignment="1">
      <alignment horizontal="center" vertical="center"/>
    </xf>
    <xf numFmtId="0" fontId="5" fillId="0" borderId="0" xfId="0" applyFont="1"/>
    <xf numFmtId="4" fontId="5" fillId="0" borderId="41" xfId="0" applyNumberFormat="1" applyFont="1" applyFill="1" applyBorder="1"/>
    <xf numFmtId="0" fontId="5" fillId="11" borderId="0" xfId="0" applyFont="1" applyFill="1" applyBorder="1"/>
    <xf numFmtId="0" fontId="5" fillId="11" borderId="0" xfId="0" applyFont="1" applyFill="1"/>
    <xf numFmtId="0" fontId="5" fillId="9" borderId="59" xfId="0" applyFont="1" applyFill="1" applyBorder="1"/>
    <xf numFmtId="0" fontId="5" fillId="9" borderId="61" xfId="0" applyFont="1" applyFill="1" applyBorder="1"/>
    <xf numFmtId="0" fontId="5" fillId="9" borderId="62" xfId="0" applyFont="1" applyFill="1" applyBorder="1"/>
    <xf numFmtId="0" fontId="5" fillId="9" borderId="63" xfId="0" applyFont="1" applyFill="1" applyBorder="1"/>
    <xf numFmtId="0" fontId="5" fillId="9" borderId="64" xfId="0" applyFont="1" applyFill="1" applyBorder="1"/>
    <xf numFmtId="0" fontId="5" fillId="9" borderId="67" xfId="0" applyFont="1" applyFill="1" applyBorder="1"/>
    <xf numFmtId="0" fontId="5" fillId="9" borderId="65" xfId="0" applyFont="1" applyFill="1" applyBorder="1"/>
    <xf numFmtId="4" fontId="6" fillId="0" borderId="2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8" borderId="15" xfId="0" applyFont="1" applyFill="1" applyBorder="1" applyAlignment="1">
      <alignment horizontal="center" vertical="center"/>
    </xf>
    <xf numFmtId="0" fontId="5" fillId="11" borderId="0" xfId="0" applyFont="1" applyFill="1" applyBorder="1" applyAlignment="1">
      <alignment horizontal="center" vertical="center"/>
    </xf>
    <xf numFmtId="0" fontId="5" fillId="11" borderId="16" xfId="0" applyFont="1" applyFill="1" applyBorder="1" applyAlignment="1">
      <alignment horizontal="center" vertical="center"/>
    </xf>
    <xf numFmtId="0" fontId="5" fillId="9" borderId="60" xfId="0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4" fillId="6" borderId="4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9" borderId="60" xfId="0" applyFont="1" applyFill="1" applyBorder="1" applyAlignment="1">
      <alignment horizontal="center" vertical="center"/>
    </xf>
    <xf numFmtId="49" fontId="4" fillId="6" borderId="10" xfId="0" applyNumberFormat="1" applyFont="1" applyFill="1" applyBorder="1" applyAlignment="1">
      <alignment horizontal="center" vertical="center"/>
    </xf>
    <xf numFmtId="49" fontId="5" fillId="8" borderId="53" xfId="0" applyNumberFormat="1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5" fillId="8" borderId="52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5" fillId="8" borderId="58" xfId="0" applyFont="1" applyFill="1" applyBorder="1" applyAlignment="1">
      <alignment horizontal="center" vertical="center"/>
    </xf>
    <xf numFmtId="0" fontId="5" fillId="9" borderId="66" xfId="0" applyFont="1" applyFill="1" applyBorder="1" applyAlignment="1">
      <alignment horizontal="center" vertical="center"/>
    </xf>
    <xf numFmtId="49" fontId="4" fillId="6" borderId="4" xfId="0" applyNumberFormat="1" applyFont="1" applyFill="1" applyBorder="1" applyAlignment="1">
      <alignment vertical="center"/>
    </xf>
    <xf numFmtId="4" fontId="5" fillId="8" borderId="51" xfId="0" applyNumberFormat="1" applyFont="1" applyFill="1" applyBorder="1" applyAlignment="1">
      <alignment vertical="center"/>
    </xf>
    <xf numFmtId="4" fontId="5" fillId="9" borderId="4" xfId="0" applyNumberFormat="1" applyFont="1" applyFill="1" applyBorder="1" applyAlignment="1">
      <alignment vertical="center"/>
    </xf>
    <xf numFmtId="4" fontId="5" fillId="8" borderId="52" xfId="0" applyNumberFormat="1" applyFont="1" applyFill="1" applyBorder="1" applyAlignment="1">
      <alignment vertical="center"/>
    </xf>
    <xf numFmtId="0" fontId="5" fillId="9" borderId="53" xfId="0" applyFont="1" applyFill="1" applyBorder="1" applyAlignment="1">
      <alignment vertical="center"/>
    </xf>
    <xf numFmtId="4" fontId="6" fillId="4" borderId="11" xfId="0" applyNumberFormat="1" applyFont="1" applyFill="1" applyBorder="1" applyAlignment="1">
      <alignment horizontal="center" vertical="center"/>
    </xf>
    <xf numFmtId="4" fontId="6" fillId="4" borderId="17" xfId="0" applyNumberFormat="1" applyFont="1" applyFill="1" applyBorder="1" applyAlignment="1">
      <alignment horizontal="center" vertical="center"/>
    </xf>
    <xf numFmtId="4" fontId="6" fillId="4" borderId="50" xfId="0" applyNumberFormat="1" applyFont="1" applyFill="1" applyBorder="1" applyAlignment="1">
      <alignment horizontal="center" vertical="center"/>
    </xf>
    <xf numFmtId="4" fontId="5" fillId="4" borderId="12" xfId="0" applyNumberFormat="1" applyFont="1" applyFill="1" applyBorder="1" applyAlignment="1">
      <alignment horizontal="center" vertical="center"/>
    </xf>
    <xf numFmtId="0" fontId="5" fillId="9" borderId="68" xfId="0" applyFont="1" applyFill="1" applyBorder="1" applyAlignment="1">
      <alignment vertical="center"/>
    </xf>
    <xf numFmtId="49" fontId="4" fillId="6" borderId="4" xfId="0" applyNumberFormat="1" applyFont="1" applyFill="1" applyBorder="1" applyAlignment="1">
      <alignment horizontal="center" vertical="center"/>
    </xf>
    <xf numFmtId="0" fontId="5" fillId="9" borderId="53" xfId="0" applyFont="1" applyFill="1" applyBorder="1" applyAlignment="1">
      <alignment horizontal="center" vertical="center"/>
    </xf>
    <xf numFmtId="0" fontId="5" fillId="9" borderId="68" xfId="0" applyFont="1" applyFill="1" applyBorder="1" applyAlignment="1">
      <alignment horizontal="center" vertical="center"/>
    </xf>
    <xf numFmtId="0" fontId="4" fillId="6" borderId="70" xfId="0" applyFont="1" applyFill="1" applyBorder="1" applyAlignment="1">
      <alignment horizontal="center" vertical="center"/>
    </xf>
    <xf numFmtId="4" fontId="5" fillId="8" borderId="75" xfId="0" applyNumberFormat="1" applyFont="1" applyFill="1" applyBorder="1" applyAlignment="1">
      <alignment horizontal="center" vertical="center"/>
    </xf>
    <xf numFmtId="0" fontId="5" fillId="9" borderId="69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" fontId="6" fillId="8" borderId="56" xfId="0" applyNumberFormat="1" applyFont="1" applyFill="1" applyBorder="1" applyAlignment="1">
      <alignment vertical="center"/>
    </xf>
    <xf numFmtId="4" fontId="6" fillId="8" borderId="9" xfId="0" applyNumberFormat="1" applyFont="1" applyFill="1" applyBorder="1" applyAlignment="1">
      <alignment vertical="center"/>
    </xf>
    <xf numFmtId="49" fontId="4" fillId="6" borderId="5" xfId="0" applyNumberFormat="1" applyFont="1" applyFill="1" applyBorder="1" applyAlignment="1">
      <alignment vertical="center"/>
    </xf>
    <xf numFmtId="4" fontId="5" fillId="0" borderId="23" xfId="0" applyNumberFormat="1" applyFont="1" applyBorder="1" applyAlignment="1">
      <alignment vertical="center"/>
    </xf>
    <xf numFmtId="4" fontId="5" fillId="0" borderId="29" xfId="0" applyNumberFormat="1" applyFont="1" applyBorder="1" applyAlignment="1">
      <alignment vertical="center"/>
    </xf>
    <xf numFmtId="4" fontId="5" fillId="0" borderId="14" xfId="0" applyNumberFormat="1" applyFont="1" applyBorder="1" applyAlignment="1">
      <alignment vertical="center"/>
    </xf>
    <xf numFmtId="4" fontId="5" fillId="0" borderId="17" xfId="0" applyNumberFormat="1" applyFont="1" applyBorder="1" applyAlignment="1">
      <alignment vertical="center"/>
    </xf>
    <xf numFmtId="0" fontId="4" fillId="6" borderId="49" xfId="0" applyFont="1" applyFill="1" applyBorder="1" applyAlignment="1">
      <alignment vertical="center"/>
    </xf>
    <xf numFmtId="4" fontId="5" fillId="8" borderId="54" xfId="0" applyNumberFormat="1" applyFont="1" applyFill="1" applyBorder="1" applyAlignment="1">
      <alignment vertical="center"/>
    </xf>
    <xf numFmtId="4" fontId="5" fillId="9" borderId="16" xfId="0" applyNumberFormat="1" applyFont="1" applyFill="1" applyBorder="1" applyAlignment="1">
      <alignment vertical="center"/>
    </xf>
    <xf numFmtId="0" fontId="4" fillId="6" borderId="5" xfId="0" applyFont="1" applyFill="1" applyBorder="1" applyAlignment="1">
      <alignment vertical="center"/>
    </xf>
    <xf numFmtId="4" fontId="5" fillId="0" borderId="31" xfId="0" applyNumberFormat="1" applyFont="1" applyBorder="1" applyAlignment="1">
      <alignment vertical="center"/>
    </xf>
    <xf numFmtId="4" fontId="5" fillId="0" borderId="9" xfId="0" applyNumberFormat="1" applyFont="1" applyBorder="1" applyAlignment="1">
      <alignment vertical="center"/>
    </xf>
    <xf numFmtId="4" fontId="5" fillId="0" borderId="28" xfId="0" applyNumberFormat="1" applyFont="1" applyBorder="1" applyAlignment="1">
      <alignment vertical="center"/>
    </xf>
    <xf numFmtId="4" fontId="5" fillId="8" borderId="9" xfId="0" applyNumberFormat="1" applyFont="1" applyFill="1" applyBorder="1" applyAlignment="1">
      <alignment vertical="center"/>
    </xf>
    <xf numFmtId="4" fontId="5" fillId="8" borderId="17" xfId="0" applyNumberFormat="1" applyFont="1" applyFill="1" applyBorder="1" applyAlignment="1">
      <alignment vertical="center"/>
    </xf>
    <xf numFmtId="49" fontId="5" fillId="9" borderId="16" xfId="0" applyNumberFormat="1" applyFont="1" applyFill="1" applyBorder="1" applyAlignment="1">
      <alignment horizontal="center" vertical="center"/>
    </xf>
    <xf numFmtId="4" fontId="6" fillId="9" borderId="16" xfId="0" applyNumberFormat="1" applyFont="1" applyFill="1" applyBorder="1" applyAlignment="1">
      <alignment horizontal="center" vertical="center"/>
    </xf>
    <xf numFmtId="4" fontId="6" fillId="9" borderId="16" xfId="0" applyNumberFormat="1" applyFont="1" applyFill="1" applyBorder="1" applyAlignment="1">
      <alignment vertical="center"/>
    </xf>
    <xf numFmtId="0" fontId="5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vertical="center"/>
    </xf>
    <xf numFmtId="0" fontId="5" fillId="0" borderId="0" xfId="0" applyFont="1" applyBorder="1"/>
    <xf numFmtId="0" fontId="5" fillId="9" borderId="76" xfId="0" applyFont="1" applyFill="1" applyBorder="1"/>
    <xf numFmtId="0" fontId="5" fillId="9" borderId="78" xfId="0" applyFont="1" applyFill="1" applyBorder="1" applyAlignment="1">
      <alignment horizontal="center" vertical="center"/>
    </xf>
    <xf numFmtId="0" fontId="5" fillId="9" borderId="78" xfId="0" applyFont="1" applyFill="1" applyBorder="1" applyAlignment="1">
      <alignment vertical="center"/>
    </xf>
    <xf numFmtId="0" fontId="5" fillId="9" borderId="77" xfId="0" applyFont="1" applyFill="1" applyBorder="1"/>
    <xf numFmtId="0" fontId="5" fillId="9" borderId="80" xfId="0" applyFont="1" applyFill="1" applyBorder="1"/>
    <xf numFmtId="0" fontId="5" fillId="9" borderId="79" xfId="0" applyFont="1" applyFill="1" applyBorder="1"/>
    <xf numFmtId="4" fontId="5" fillId="8" borderId="54" xfId="0" applyNumberFormat="1" applyFont="1" applyFill="1" applyBorder="1" applyAlignment="1">
      <alignment horizontal="center" vertical="center"/>
    </xf>
    <xf numFmtId="43" fontId="5" fillId="11" borderId="30" xfId="0" applyNumberFormat="1" applyFont="1" applyFill="1" applyBorder="1" applyAlignment="1">
      <alignment horizontal="center" vertical="center"/>
    </xf>
    <xf numFmtId="4" fontId="6" fillId="11" borderId="3" xfId="1" applyNumberFormat="1" applyFont="1" applyFill="1" applyBorder="1" applyAlignment="1">
      <alignment horizontal="center" vertical="center"/>
    </xf>
    <xf numFmtId="43" fontId="5" fillId="11" borderId="24" xfId="0" applyNumberFormat="1" applyFont="1" applyFill="1" applyBorder="1" applyAlignment="1">
      <alignment horizontal="center" vertical="center"/>
    </xf>
    <xf numFmtId="4" fontId="6" fillId="11" borderId="2" xfId="1" applyNumberFormat="1" applyFont="1" applyFill="1" applyBorder="1" applyAlignment="1">
      <alignment horizontal="center" vertical="center"/>
    </xf>
    <xf numFmtId="43" fontId="5" fillId="11" borderId="42" xfId="0" applyNumberFormat="1" applyFont="1" applyFill="1" applyBorder="1" applyAlignment="1">
      <alignment horizontal="center" vertical="center"/>
    </xf>
    <xf numFmtId="43" fontId="5" fillId="11" borderId="25" xfId="0" applyNumberFormat="1" applyFont="1" applyFill="1" applyBorder="1" applyAlignment="1">
      <alignment horizontal="center" vertical="center"/>
    </xf>
    <xf numFmtId="4" fontId="6" fillId="11" borderId="7" xfId="1" applyNumberFormat="1" applyFont="1" applyFill="1" applyBorder="1" applyAlignment="1">
      <alignment horizontal="center" vertical="center"/>
    </xf>
    <xf numFmtId="4" fontId="5" fillId="8" borderId="81" xfId="0" applyNumberFormat="1" applyFont="1" applyFill="1" applyBorder="1"/>
    <xf numFmtId="0" fontId="6" fillId="4" borderId="38" xfId="0" applyFont="1" applyFill="1" applyBorder="1" applyAlignment="1">
      <alignment horizontal="center" vertical="center"/>
    </xf>
    <xf numFmtId="4" fontId="6" fillId="0" borderId="17" xfId="0" applyNumberFormat="1" applyFont="1" applyFill="1" applyBorder="1" applyAlignment="1">
      <alignment horizontal="center"/>
    </xf>
    <xf numFmtId="4" fontId="10" fillId="0" borderId="24" xfId="0" applyNumberFormat="1" applyFont="1" applyFill="1" applyBorder="1" applyAlignment="1">
      <alignment horizontal="center" vertical="center"/>
    </xf>
    <xf numFmtId="4" fontId="11" fillId="8" borderId="81" xfId="0" applyNumberFormat="1" applyFont="1" applyFill="1" applyBorder="1"/>
    <xf numFmtId="4" fontId="6" fillId="13" borderId="2" xfId="1" applyNumberFormat="1" applyFont="1" applyFill="1" applyBorder="1" applyAlignment="1">
      <alignment horizontal="center" vertical="center"/>
    </xf>
    <xf numFmtId="4" fontId="6" fillId="13" borderId="23" xfId="0" applyNumberFormat="1" applyFont="1" applyFill="1" applyBorder="1" applyAlignment="1">
      <alignment horizontal="center" vertical="center"/>
    </xf>
    <xf numFmtId="4" fontId="6" fillId="13" borderId="37" xfId="0" applyNumberFormat="1" applyFont="1" applyFill="1" applyBorder="1" applyAlignment="1">
      <alignment horizontal="center" vertical="center"/>
    </xf>
    <xf numFmtId="4" fontId="6" fillId="13" borderId="30" xfId="0" applyNumberFormat="1" applyFont="1" applyFill="1" applyBorder="1" applyAlignment="1">
      <alignment horizontal="center" vertical="center"/>
    </xf>
    <xf numFmtId="4" fontId="6" fillId="11" borderId="37" xfId="0" applyNumberFormat="1" applyFont="1" applyFill="1" applyBorder="1" applyAlignment="1">
      <alignment horizontal="center" vertical="center"/>
    </xf>
    <xf numFmtId="4" fontId="6" fillId="11" borderId="30" xfId="0" applyNumberFormat="1" applyFont="1" applyFill="1" applyBorder="1" applyAlignment="1">
      <alignment horizontal="center" vertical="center"/>
    </xf>
    <xf numFmtId="4" fontId="6" fillId="0" borderId="3" xfId="1" applyNumberFormat="1" applyFont="1" applyFill="1" applyBorder="1" applyAlignment="1">
      <alignment horizontal="center" vertical="center"/>
    </xf>
    <xf numFmtId="4" fontId="6" fillId="0" borderId="44" xfId="1" applyNumberFormat="1" applyFont="1" applyFill="1" applyBorder="1" applyAlignment="1">
      <alignment horizontal="center" vertical="center"/>
    </xf>
    <xf numFmtId="4" fontId="6" fillId="0" borderId="2" xfId="1" applyNumberFormat="1" applyFont="1" applyFill="1" applyBorder="1" applyAlignment="1">
      <alignment horizontal="center" vertical="center"/>
    </xf>
    <xf numFmtId="4" fontId="5" fillId="0" borderId="2" xfId="1" applyNumberFormat="1" applyFont="1" applyFill="1" applyBorder="1" applyAlignment="1">
      <alignment horizontal="center" vertical="center"/>
    </xf>
    <xf numFmtId="4" fontId="5" fillId="0" borderId="43" xfId="1" applyNumberFormat="1" applyFont="1" applyFill="1" applyBorder="1" applyAlignment="1">
      <alignment horizontal="center" vertical="center"/>
    </xf>
    <xf numFmtId="4" fontId="5" fillId="0" borderId="30" xfId="0" applyNumberFormat="1" applyFont="1" applyFill="1" applyBorder="1" applyAlignment="1">
      <alignment horizontal="center" vertical="center"/>
    </xf>
    <xf numFmtId="4" fontId="5" fillId="0" borderId="37" xfId="0" applyNumberFormat="1" applyFont="1" applyFill="1" applyBorder="1" applyAlignment="1">
      <alignment horizontal="center" vertical="center"/>
    </xf>
    <xf numFmtId="4" fontId="5" fillId="0" borderId="46" xfId="0" applyNumberFormat="1" applyFont="1" applyFill="1" applyBorder="1" applyAlignment="1">
      <alignment horizontal="center" vertical="center"/>
    </xf>
    <xf numFmtId="4" fontId="6" fillId="13" borderId="46" xfId="0" applyNumberFormat="1" applyFont="1" applyFill="1" applyBorder="1" applyAlignment="1">
      <alignment horizontal="center" vertical="center"/>
    </xf>
    <xf numFmtId="0" fontId="6" fillId="11" borderId="2" xfId="1" applyFont="1" applyFill="1" applyBorder="1" applyAlignment="1">
      <alignment horizontal="center" vertical="center"/>
    </xf>
    <xf numFmtId="0" fontId="6" fillId="11" borderId="43" xfId="1" applyFont="1" applyFill="1" applyBorder="1" applyAlignment="1">
      <alignment horizontal="center" vertical="center"/>
    </xf>
    <xf numFmtId="4" fontId="6" fillId="11" borderId="46" xfId="0" applyNumberFormat="1" applyFont="1" applyFill="1" applyBorder="1" applyAlignment="1">
      <alignment horizontal="center" vertical="center"/>
    </xf>
    <xf numFmtId="4" fontId="6" fillId="13" borderId="43" xfId="1" applyNumberFormat="1" applyFont="1" applyFill="1" applyBorder="1" applyAlignment="1">
      <alignment horizontal="center" vertical="center"/>
    </xf>
    <xf numFmtId="4" fontId="12" fillId="0" borderId="35" xfId="1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4" fillId="6" borderId="16" xfId="0" applyFont="1" applyFill="1" applyBorder="1" applyAlignment="1">
      <alignment horizontal="center"/>
    </xf>
    <xf numFmtId="0" fontId="4" fillId="6" borderId="17" xfId="0" applyFont="1" applyFill="1" applyBorder="1" applyAlignment="1">
      <alignment horizontal="center"/>
    </xf>
    <xf numFmtId="0" fontId="4" fillId="12" borderId="15" xfId="0" applyFont="1" applyFill="1" applyBorder="1" applyAlignment="1">
      <alignment horizontal="center" vertical="center"/>
    </xf>
    <xf numFmtId="0" fontId="4" fillId="12" borderId="16" xfId="0" applyFont="1" applyFill="1" applyBorder="1" applyAlignment="1">
      <alignment horizontal="center" vertical="center"/>
    </xf>
    <xf numFmtId="0" fontId="4" fillId="12" borderId="17" xfId="0" applyFont="1" applyFill="1" applyBorder="1" applyAlignment="1">
      <alignment horizontal="center" vertical="center"/>
    </xf>
  </cellXfs>
  <cellStyles count="2">
    <cellStyle name="Normal" xfId="0" builtinId="0"/>
    <cellStyle name="Saída" xfId="1" builtinId="21"/>
  </cellStyles>
  <dxfs count="0"/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POSIÇÃO</a:t>
            </a:r>
            <a:r>
              <a:rPr lang="pt-BR" baseline="0"/>
              <a:t> FINANCEIRA DE TROCAS MENSAL</a:t>
            </a:r>
            <a:endParaRPr lang="pt-BR"/>
          </a:p>
        </c:rich>
      </c:tx>
      <c:layout>
        <c:manualLayout>
          <c:xMode val="edge"/>
          <c:yMode val="edge"/>
          <c:x val="0.34503337200195805"/>
          <c:y val="4.00250156347717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'PERDAS LOJA 03'!$B$2</c:f>
              <c:strCache>
                <c:ptCount val="1"/>
                <c:pt idx="0">
                  <c:v>LOJA 01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'PERDAS LOJA 03'!$A$3:$A$10</c:f>
              <c:strCache>
                <c:ptCount val="8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 </c:v>
                </c:pt>
                <c:pt idx="5">
                  <c:v>JUNHO</c:v>
                </c:pt>
                <c:pt idx="6">
                  <c:v>JULHO</c:v>
                </c:pt>
                <c:pt idx="7">
                  <c:v>AGOST</c:v>
                </c:pt>
              </c:strCache>
            </c:strRef>
          </c:cat>
          <c:val>
            <c:numRef>
              <c:f>'PERDAS LOJA 03'!$B$3:$B$10</c:f>
              <c:numCache>
                <c:formatCode>#,##0.00</c:formatCode>
                <c:ptCount val="8"/>
                <c:pt idx="0">
                  <c:v>78745.08</c:v>
                </c:pt>
                <c:pt idx="1">
                  <c:v>62499.78</c:v>
                </c:pt>
                <c:pt idx="2">
                  <c:v>57043.15</c:v>
                </c:pt>
                <c:pt idx="3">
                  <c:v>59337.67</c:v>
                </c:pt>
                <c:pt idx="4">
                  <c:v>69683.5</c:v>
                </c:pt>
                <c:pt idx="5">
                  <c:v>90824.55</c:v>
                </c:pt>
                <c:pt idx="6">
                  <c:v>73648.83</c:v>
                </c:pt>
                <c:pt idx="7">
                  <c:v>75277.11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7-45E2-A10F-B8A8E4741BD7}"/>
            </c:ext>
          </c:extLst>
        </c:ser>
        <c:ser>
          <c:idx val="1"/>
          <c:order val="1"/>
          <c:tx>
            <c:strRef>
              <c:f>'PERDAS LOJA 03'!$C$2</c:f>
              <c:strCache>
                <c:ptCount val="1"/>
                <c:pt idx="0">
                  <c:v>LOJA 02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'PERDAS LOJA 03'!$A$3:$A$10</c:f>
              <c:strCache>
                <c:ptCount val="8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 </c:v>
                </c:pt>
                <c:pt idx="5">
                  <c:v>JUNHO</c:v>
                </c:pt>
                <c:pt idx="6">
                  <c:v>JULHO</c:v>
                </c:pt>
                <c:pt idx="7">
                  <c:v>AGOST</c:v>
                </c:pt>
              </c:strCache>
            </c:strRef>
          </c:cat>
          <c:val>
            <c:numRef>
              <c:f>'PERDAS LOJA 03'!$C$3:$C$10</c:f>
              <c:numCache>
                <c:formatCode>#,##0.00</c:formatCode>
                <c:ptCount val="8"/>
                <c:pt idx="0">
                  <c:v>52591.199999999997</c:v>
                </c:pt>
                <c:pt idx="1">
                  <c:v>51534.26</c:v>
                </c:pt>
                <c:pt idx="2">
                  <c:v>47804.81</c:v>
                </c:pt>
                <c:pt idx="3">
                  <c:v>53919.79</c:v>
                </c:pt>
                <c:pt idx="4">
                  <c:v>50607.18</c:v>
                </c:pt>
                <c:pt idx="5">
                  <c:v>51808.37</c:v>
                </c:pt>
                <c:pt idx="6">
                  <c:v>51218.559999999998</c:v>
                </c:pt>
                <c:pt idx="7">
                  <c:v>53066.45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97-45E2-A10F-B8A8E4741BD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6319311"/>
        <c:axId val="206316399"/>
      </c:barChart>
      <c:catAx>
        <c:axId val="20631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316399"/>
        <c:crosses val="autoZero"/>
        <c:auto val="1"/>
        <c:lblAlgn val="ctr"/>
        <c:lblOffset val="100"/>
        <c:noMultiLvlLbl val="0"/>
      </c:catAx>
      <c:valAx>
        <c:axId val="20631639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20631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3595616024350903"/>
          <c:y val="0.94282043079576328"/>
          <c:w val="0.12808767951298194"/>
          <c:h val="2.6684012404194456E-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692877419686323E-2"/>
          <c:y val="8.0754962389000901E-2"/>
          <c:w val="0.91871559774440914"/>
          <c:h val="0.7907181023813364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'PERDAS  SAIDAS SETORES (2025)'!$B$33</c:f>
              <c:strCache>
                <c:ptCount val="1"/>
                <c:pt idx="0">
                  <c:v>PERDAS ACOUGUE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'PERDAS  SAIDAS SETORES (2025)'!$C$31:$K$31</c:f>
              <c:strCache>
                <c:ptCount val="9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</c:strCache>
            </c:strRef>
          </c:cat>
          <c:val>
            <c:numRef>
              <c:f>'PERDAS  SAIDAS SETORES (2025)'!$C$33:$K$33</c:f>
              <c:numCache>
                <c:formatCode>#,##0.00</c:formatCode>
                <c:ptCount val="9"/>
                <c:pt idx="0">
                  <c:v>4208.0200000000004</c:v>
                </c:pt>
                <c:pt idx="1">
                  <c:v>3239.56</c:v>
                </c:pt>
                <c:pt idx="2">
                  <c:v>6558.03</c:v>
                </c:pt>
                <c:pt idx="3">
                  <c:v>3047.84</c:v>
                </c:pt>
                <c:pt idx="4">
                  <c:v>3435.79</c:v>
                </c:pt>
                <c:pt idx="5">
                  <c:v>2191.7800000000002</c:v>
                </c:pt>
                <c:pt idx="6">
                  <c:v>2490.85</c:v>
                </c:pt>
                <c:pt idx="7">
                  <c:v>4439.4799999999996</c:v>
                </c:pt>
                <c:pt idx="8">
                  <c:v>2914.09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F6-4CAF-B525-96521B904F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40004000"/>
        <c:axId val="7400144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'PERDAS  SAIDAS SETORES (2025)'!$B$32</c15:sqref>
                        </c15:formulaRef>
                      </c:ext>
                    </c:extLst>
                    <c:strCache>
                      <c:ptCount val="1"/>
                      <c:pt idx="0">
                        <c:v>PERDAS FLV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'PERDAS  SAIDAS SETORES (2025)'!$C$31:$K$31</c15:sqref>
                        </c15:formulaRef>
                      </c:ext>
                    </c:extLst>
                    <c:strCache>
                      <c:ptCount val="9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'PERDAS  SAIDAS SETORES (2025)'!$C$32:$K$32</c15:sqref>
                        </c15:formulaRef>
                      </c:ext>
                    </c:extLst>
                    <c:numCache>
                      <c:formatCode>#,##0.00</c:formatCode>
                      <c:ptCount val="9"/>
                      <c:pt idx="0">
                        <c:v>24504.83</c:v>
                      </c:pt>
                      <c:pt idx="1">
                        <c:v>22541.35</c:v>
                      </c:pt>
                      <c:pt idx="2">
                        <c:v>22559.08</c:v>
                      </c:pt>
                      <c:pt idx="3">
                        <c:v>27844.35</c:v>
                      </c:pt>
                      <c:pt idx="4">
                        <c:v>27028.68</c:v>
                      </c:pt>
                      <c:pt idx="5">
                        <c:v>30744.42</c:v>
                      </c:pt>
                      <c:pt idx="6">
                        <c:v>31580.22</c:v>
                      </c:pt>
                      <c:pt idx="7">
                        <c:v>26692.33</c:v>
                      </c:pt>
                      <c:pt idx="8">
                        <c:v>27295.15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EF6-4CAF-B525-96521B904FA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'PERDAS  SAIDAS SETORES (2025)'!$B$34</c15:sqref>
                        </c15:formulaRef>
                      </c:ext>
                    </c:extLst>
                    <c:strCache>
                      <c:ptCount val="1"/>
                      <c:pt idx="0">
                        <c:v>PERDAS PADARIA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'PERDAS  SAIDAS SETORES (2025)'!$C$31:$K$31</c15:sqref>
                        </c15:formulaRef>
                      </c:ext>
                    </c:extLst>
                    <c:strCache>
                      <c:ptCount val="9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'PERDAS  SAIDAS SETORES (2025)'!$C$34:$K$34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585.46</c:v>
                      </c:pt>
                      <c:pt idx="1">
                        <c:v>345.86</c:v>
                      </c:pt>
                      <c:pt idx="2" formatCode="#,##0.00">
                        <c:v>288.07</c:v>
                      </c:pt>
                      <c:pt idx="3" formatCode="#,##0.00">
                        <c:v>558.41999999999996</c:v>
                      </c:pt>
                      <c:pt idx="4" formatCode="#,##0.00">
                        <c:v>801.79</c:v>
                      </c:pt>
                      <c:pt idx="5" formatCode="#,##0.00">
                        <c:v>812.66</c:v>
                      </c:pt>
                      <c:pt idx="6" formatCode="#,##0.00">
                        <c:v>1095.2</c:v>
                      </c:pt>
                      <c:pt idx="7" formatCode="#,##0.00">
                        <c:v>752.74</c:v>
                      </c:pt>
                      <c:pt idx="8" formatCode="#,##0.00">
                        <c:v>385.11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EF6-4CAF-B525-96521B904FA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'PERDAS  SAIDAS SETORES (2025)'!$B$35</c15:sqref>
                        </c15:formulaRef>
                      </c:ext>
                    </c:extLst>
                    <c:strCache>
                      <c:ptCount val="1"/>
                      <c:pt idx="0">
                        <c:v>PERDAS PRODUÇÃO PADARIA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'PERDAS  SAIDAS SETORES (2025)'!$C$31:$K$31</c15:sqref>
                        </c15:formulaRef>
                      </c:ext>
                    </c:extLst>
                    <c:strCache>
                      <c:ptCount val="9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'PERDAS  SAIDAS SETORES (2025)'!$C$35:$K$35</c15:sqref>
                        </c15:formulaRef>
                      </c:ext>
                    </c:extLst>
                    <c:numCache>
                      <c:formatCode>#,##0.00</c:formatCode>
                      <c:ptCount val="9"/>
                      <c:pt idx="0">
                        <c:v>1492.93</c:v>
                      </c:pt>
                      <c:pt idx="1">
                        <c:v>1025.3499999999999</c:v>
                      </c:pt>
                      <c:pt idx="2">
                        <c:v>798.43</c:v>
                      </c:pt>
                      <c:pt idx="3">
                        <c:v>1283.57</c:v>
                      </c:pt>
                      <c:pt idx="4">
                        <c:v>1785.2</c:v>
                      </c:pt>
                      <c:pt idx="5">
                        <c:v>1614.01</c:v>
                      </c:pt>
                      <c:pt idx="6">
                        <c:v>1728.92</c:v>
                      </c:pt>
                      <c:pt idx="7">
                        <c:v>1313.2</c:v>
                      </c:pt>
                      <c:pt idx="8">
                        <c:v>1494.65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EF6-4CAF-B525-96521B904FA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'PERDAS  SAIDAS SETORES (2025)'!$B$36</c15:sqref>
                        </c15:formulaRef>
                      </c:ext>
                    </c:extLst>
                    <c:strCache>
                      <c:ptCount val="1"/>
                      <c:pt idx="0">
                        <c:v>PERDAS FRIOS E CONGELADOS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trendline>
                  <c:spPr>
                    <a:ln w="19050" cap="rnd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  <c:trendlineType val="linear"/>
                  <c:dispRSqr val="0"/>
                  <c:dispEq val="0"/>
                </c:trendline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'PERDAS  SAIDAS SETORES (2025)'!$C$31:$K$31</c15:sqref>
                        </c15:formulaRef>
                      </c:ext>
                    </c:extLst>
                    <c:strCache>
                      <c:ptCount val="9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'PERDAS  SAIDAS SETORES (2025)'!$C$36:$K$36</c15:sqref>
                        </c15:formulaRef>
                      </c:ext>
                    </c:extLst>
                    <c:numCache>
                      <c:formatCode>#,##0.00</c:formatCode>
                      <c:ptCount val="9"/>
                      <c:pt idx="0">
                        <c:v>2348.46</c:v>
                      </c:pt>
                      <c:pt idx="1">
                        <c:v>1215.6400000000001</c:v>
                      </c:pt>
                      <c:pt idx="2">
                        <c:v>408.96</c:v>
                      </c:pt>
                      <c:pt idx="3" formatCode="General">
                        <c:v>550.64</c:v>
                      </c:pt>
                      <c:pt idx="4">
                        <c:v>244.58</c:v>
                      </c:pt>
                      <c:pt idx="5">
                        <c:v>451.65</c:v>
                      </c:pt>
                      <c:pt idx="6">
                        <c:v>606.97</c:v>
                      </c:pt>
                      <c:pt idx="7">
                        <c:v>3327.55</c:v>
                      </c:pt>
                      <c:pt idx="8">
                        <c:v>104.02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EF6-4CAF-B525-96521B904FA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'PERDAS  SAIDAS SETORES (2025)'!$B$37</c15:sqref>
                        </c15:formulaRef>
                      </c:ext>
                    </c:extLst>
                    <c:strCache>
                      <c:ptCount val="1"/>
                      <c:pt idx="0">
                        <c:v>PERDAS PAGAS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'PERDAS  SAIDAS SETORES (2025)'!$C$31:$K$31</c15:sqref>
                        </c15:formulaRef>
                      </c:ext>
                    </c:extLst>
                    <c:strCache>
                      <c:ptCount val="9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'PERDAS  SAIDAS SETORES (2025)'!$C$37:$K$37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 formatCode="#,##0.00">
                        <c:v>1227.98</c:v>
                      </c:pt>
                      <c:pt idx="1">
                        <c:v>63.15</c:v>
                      </c:pt>
                      <c:pt idx="2" formatCode="#,##0.00">
                        <c:v>465.33</c:v>
                      </c:pt>
                      <c:pt idx="3" formatCode="#,##0.00">
                        <c:v>567.97</c:v>
                      </c:pt>
                      <c:pt idx="4" formatCode="#,##0.00">
                        <c:v>364.28</c:v>
                      </c:pt>
                      <c:pt idx="8" formatCode="#,##0.0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EF6-4CAF-B525-96521B904FA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'PERDAS  SAIDAS SETORES (2025)'!$B$38</c15:sqref>
                        </c15:formulaRef>
                      </c:ext>
                    </c:extLst>
                    <c:strCache>
                      <c:ptCount val="1"/>
                      <c:pt idx="0">
                        <c:v>PERDAS FURTOS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80000"/>
                          <a:lumOff val="2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80000"/>
                          <a:lumOff val="2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80000"/>
                          <a:lumOff val="2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'PERDAS  SAIDAS SETORES (2025)'!$C$31:$K$31</c15:sqref>
                        </c15:formulaRef>
                      </c:ext>
                    </c:extLst>
                    <c:strCache>
                      <c:ptCount val="9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'PERDAS  SAIDAS SETORES (2025)'!$C$38:$K$38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2" formatCode="#,##0.00">
                        <c:v>31.35</c:v>
                      </c:pt>
                      <c:pt idx="4" formatCode="#,##0.00">
                        <c:v>39.96</c:v>
                      </c:pt>
                      <c:pt idx="6" formatCode="#,##0.00">
                        <c:v>40.119999999999997</c:v>
                      </c:pt>
                      <c:pt idx="7">
                        <c:v>11.61</c:v>
                      </c:pt>
                      <c:pt idx="8" formatCode="#,##0.00">
                        <c:v>6.49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EF6-4CAF-B525-96521B904FAB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'PERDAS  SAIDAS SETORES (2025)'!$B$39</c15:sqref>
                        </c15:formulaRef>
                      </c:ext>
                    </c:extLst>
                    <c:strCache>
                      <c:ptCount val="1"/>
                      <c:pt idx="0">
                        <c:v>PERDAS BEBIDAS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lumMod val="80000"/>
                          <a:lumOff val="2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lumMod val="80000"/>
                          <a:lumOff val="2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80000"/>
                          <a:lumOff val="2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trendline>
                  <c:spPr>
                    <a:ln w="19050" cap="rnd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  <c:trendlineType val="linear"/>
                  <c:dispRSqr val="0"/>
                  <c:dispEq val="0"/>
                </c:trendline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'PERDAS  SAIDAS SETORES (2025)'!$C$31:$K$31</c15:sqref>
                        </c15:formulaRef>
                      </c:ext>
                    </c:extLst>
                    <c:strCache>
                      <c:ptCount val="9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'PERDAS  SAIDAS SETORES (2025)'!$C$39:$K$39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496.9</c:v>
                      </c:pt>
                      <c:pt idx="1">
                        <c:v>351.37</c:v>
                      </c:pt>
                      <c:pt idx="2" formatCode="#,##0.00">
                        <c:v>366.55</c:v>
                      </c:pt>
                      <c:pt idx="3" formatCode="#,##0.00">
                        <c:v>297.04000000000002</c:v>
                      </c:pt>
                      <c:pt idx="4" formatCode="#,##0.00">
                        <c:v>783.14</c:v>
                      </c:pt>
                      <c:pt idx="5" formatCode="#,##0.00">
                        <c:v>600.69000000000005</c:v>
                      </c:pt>
                      <c:pt idx="6" formatCode="#,##0.00">
                        <c:v>820.33</c:v>
                      </c:pt>
                      <c:pt idx="7" formatCode="#,##0.00">
                        <c:v>465.11</c:v>
                      </c:pt>
                      <c:pt idx="8" formatCode="#,##0.00">
                        <c:v>759.2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EF6-4CAF-B525-96521B904FAB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'PERDAS  SAIDAS SETORES (2025)'!$B$40</c15:sqref>
                        </c15:formulaRef>
                      </c:ext>
                    </c:extLst>
                    <c:strCache>
                      <c:ptCount val="1"/>
                      <c:pt idx="0">
                        <c:v>PERDAS LOJA E DEPOSITO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lumMod val="80000"/>
                          <a:lumOff val="2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lumMod val="80000"/>
                          <a:lumOff val="2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80000"/>
                          <a:lumOff val="2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'PERDAS  SAIDAS SETORES (2025)'!$C$31:$K$31</c15:sqref>
                        </c15:formulaRef>
                      </c:ext>
                    </c:extLst>
                    <c:strCache>
                      <c:ptCount val="9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'PERDAS  SAIDAS SETORES (2025)'!$C$40:$K$40</c15:sqref>
                        </c15:formulaRef>
                      </c:ext>
                    </c:extLst>
                    <c:numCache>
                      <c:formatCode>#,##0.00</c:formatCode>
                      <c:ptCount val="9"/>
                      <c:pt idx="0">
                        <c:v>2703.29</c:v>
                      </c:pt>
                      <c:pt idx="1">
                        <c:v>1376.58</c:v>
                      </c:pt>
                      <c:pt idx="2">
                        <c:v>3921.2</c:v>
                      </c:pt>
                      <c:pt idx="3">
                        <c:v>633.24</c:v>
                      </c:pt>
                      <c:pt idx="4" formatCode="General">
                        <c:v>908.12</c:v>
                      </c:pt>
                      <c:pt idx="5">
                        <c:v>2364.96</c:v>
                      </c:pt>
                      <c:pt idx="6">
                        <c:v>4018.87</c:v>
                      </c:pt>
                      <c:pt idx="7">
                        <c:v>1327.28</c:v>
                      </c:pt>
                      <c:pt idx="8">
                        <c:v>1811.34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EF6-4CAF-B525-96521B904FAB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'PERDAS  SAIDAS SETORES (2025)'!$B$41</c15:sqref>
                        </c15:formulaRef>
                      </c:ext>
                    </c:extLst>
                    <c:strCache>
                      <c:ptCount val="1"/>
                      <c:pt idx="0">
                        <c:v>SAIDA DE UM PARA OUTRO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8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8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8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'PERDAS  SAIDAS SETORES (2025)'!$C$31:$K$31</c15:sqref>
                        </c15:formulaRef>
                      </c:ext>
                    </c:extLst>
                    <c:strCache>
                      <c:ptCount val="9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'PERDAS  SAIDAS SETORES (2025)'!$C$41:$K$41</c15:sqref>
                        </c15:formulaRef>
                      </c:ext>
                    </c:extLst>
                    <c:numCache>
                      <c:formatCode>#,##0.00</c:formatCode>
                      <c:ptCount val="9"/>
                      <c:pt idx="0">
                        <c:v>23313.82</c:v>
                      </c:pt>
                      <c:pt idx="1">
                        <c:v>19469.28</c:v>
                      </c:pt>
                      <c:pt idx="2">
                        <c:v>24531.87</c:v>
                      </c:pt>
                      <c:pt idx="3">
                        <c:v>28001.17</c:v>
                      </c:pt>
                      <c:pt idx="4">
                        <c:v>22094.46</c:v>
                      </c:pt>
                      <c:pt idx="5">
                        <c:v>17595.419999999998</c:v>
                      </c:pt>
                      <c:pt idx="6">
                        <c:v>22542.93</c:v>
                      </c:pt>
                      <c:pt idx="7">
                        <c:v>17850.759999999998</c:v>
                      </c:pt>
                      <c:pt idx="8">
                        <c:v>18505.96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EF6-4CAF-B525-96521B904FAB}"/>
                  </c:ext>
                </c:extLst>
              </c15:ser>
            </c15:filteredBarSeries>
          </c:ext>
        </c:extLst>
      </c:barChart>
      <c:catAx>
        <c:axId val="740004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0014400"/>
        <c:crosses val="autoZero"/>
        <c:auto val="1"/>
        <c:lblAlgn val="ctr"/>
        <c:lblOffset val="100"/>
        <c:noMultiLvlLbl val="0"/>
      </c:catAx>
      <c:valAx>
        <c:axId val="74001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000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363883376366571"/>
          <c:y val="0.93991791009582171"/>
          <c:w val="0.16606541052287163"/>
          <c:h val="3.08644135532441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47625</xdr:rowOff>
    </xdr:from>
    <xdr:to>
      <xdr:col>21</xdr:col>
      <xdr:colOff>609599</xdr:colOff>
      <xdr:row>36</xdr:row>
      <xdr:rowOff>95250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19049</xdr:rowOff>
    </xdr:from>
    <xdr:to>
      <xdr:col>22</xdr:col>
      <xdr:colOff>28575</xdr:colOff>
      <xdr:row>36</xdr:row>
      <xdr:rowOff>104774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>
    <pageSetUpPr fitToPage="1"/>
  </sheetPr>
  <dimension ref="A1:U76"/>
  <sheetViews>
    <sheetView topLeftCell="A16" zoomScale="80" zoomScaleNormal="80" workbookViewId="0">
      <selection activeCell="G11" sqref="G11"/>
    </sheetView>
  </sheetViews>
  <sheetFormatPr defaultRowHeight="15" x14ac:dyDescent="0.25"/>
  <cols>
    <col min="1" max="1" width="0.85546875" style="186" customWidth="1"/>
    <col min="2" max="2" width="31.28515625" style="198" customWidth="1"/>
    <col min="3" max="14" width="12.7109375" style="198" customWidth="1"/>
    <col min="15" max="17" width="12.7109375" style="206" customWidth="1"/>
    <col min="18" max="18" width="1.28515625" style="186" customWidth="1"/>
    <col min="19" max="19" width="9.140625" style="1" customWidth="1"/>
    <col min="20" max="20" width="35.42578125" style="1" customWidth="1"/>
    <col min="21" max="21" width="16.7109375" style="1" customWidth="1"/>
    <col min="22" max="31" width="23.42578125" style="1" customWidth="1"/>
    <col min="32" max="16384" width="9.140625" style="1"/>
  </cols>
  <sheetData>
    <row r="1" spans="1:18" ht="6" customHeight="1" thickTop="1" thickBot="1" x14ac:dyDescent="0.3">
      <c r="A1" s="190"/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2"/>
      <c r="P1" s="202"/>
      <c r="Q1" s="202"/>
      <c r="R1" s="191"/>
    </row>
    <row r="2" spans="1:18" ht="15.95" customHeight="1" thickBot="1" x14ac:dyDescent="0.3">
      <c r="A2" s="192"/>
      <c r="B2" s="208" t="s">
        <v>2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17"/>
      <c r="P2" s="217"/>
      <c r="Q2" s="236"/>
      <c r="R2" s="193"/>
    </row>
    <row r="3" spans="1:18" ht="15.95" customHeight="1" thickBot="1" x14ac:dyDescent="0.3">
      <c r="A3" s="192"/>
      <c r="B3" s="17" t="s">
        <v>37</v>
      </c>
      <c r="C3" s="18" t="s">
        <v>0</v>
      </c>
      <c r="D3" s="17" t="s">
        <v>14</v>
      </c>
      <c r="E3" s="19" t="s">
        <v>15</v>
      </c>
      <c r="F3" s="17" t="s">
        <v>16</v>
      </c>
      <c r="G3" s="17" t="s">
        <v>17</v>
      </c>
      <c r="H3" s="17" t="s">
        <v>18</v>
      </c>
      <c r="I3" s="17" t="s">
        <v>19</v>
      </c>
      <c r="J3" s="17" t="s">
        <v>20</v>
      </c>
      <c r="K3" s="17" t="s">
        <v>21</v>
      </c>
      <c r="L3" s="17" t="s">
        <v>22</v>
      </c>
      <c r="M3" s="17" t="s">
        <v>23</v>
      </c>
      <c r="N3" s="20" t="s">
        <v>24</v>
      </c>
      <c r="O3" s="21" t="s">
        <v>25</v>
      </c>
      <c r="P3" s="22" t="s">
        <v>26</v>
      </c>
      <c r="Q3" s="22" t="s">
        <v>27</v>
      </c>
      <c r="R3" s="193"/>
    </row>
    <row r="4" spans="1:18" ht="15.95" customHeight="1" thickBot="1" x14ac:dyDescent="0.3">
      <c r="A4" s="192"/>
      <c r="B4" s="23" t="s">
        <v>67</v>
      </c>
      <c r="C4" s="50">
        <v>92487.38</v>
      </c>
      <c r="D4" s="50">
        <v>58091.71</v>
      </c>
      <c r="E4" s="50">
        <v>66844.539999999994</v>
      </c>
      <c r="F4" s="50"/>
      <c r="G4" s="50"/>
      <c r="H4" s="50"/>
      <c r="I4" s="50"/>
      <c r="J4" s="50"/>
      <c r="K4" s="50"/>
      <c r="L4" s="50"/>
      <c r="M4" s="50"/>
      <c r="N4" s="50"/>
      <c r="O4" s="237">
        <f>AVERAGE(C4:N4)</f>
        <v>72474.543333333335</v>
      </c>
      <c r="P4" s="237">
        <f>SUM(C4:N4)</f>
        <v>217423.63</v>
      </c>
      <c r="Q4" s="238">
        <f>MAX(C4:N4)</f>
        <v>92487.38</v>
      </c>
      <c r="R4" s="193"/>
    </row>
    <row r="5" spans="1:18" ht="15.95" customHeight="1" thickBot="1" x14ac:dyDescent="0.3">
      <c r="A5" s="192"/>
      <c r="B5" s="31" t="s">
        <v>68</v>
      </c>
      <c r="C5" s="50">
        <v>6017.73</v>
      </c>
      <c r="D5" s="50">
        <v>2270.9</v>
      </c>
      <c r="E5" s="50">
        <v>5160.92</v>
      </c>
      <c r="F5" s="50"/>
      <c r="G5" s="50"/>
      <c r="H5" s="50"/>
      <c r="I5" s="50"/>
      <c r="J5" s="50"/>
      <c r="K5" s="50"/>
      <c r="L5" s="50"/>
      <c r="M5" s="50"/>
      <c r="N5" s="50"/>
      <c r="O5" s="237">
        <f t="shared" ref="O5:O13" si="0">AVERAGE(C5:N5)</f>
        <v>4483.1833333333334</v>
      </c>
      <c r="P5" s="237">
        <f t="shared" ref="P5:P13" si="1">SUM(C5:N5)</f>
        <v>13449.55</v>
      </c>
      <c r="Q5" s="238">
        <f t="shared" ref="Q5:Q13" si="2">MAX(C5:N5)</f>
        <v>6017.73</v>
      </c>
      <c r="R5" s="193"/>
    </row>
    <row r="6" spans="1:18" ht="15.95" customHeight="1" thickBot="1" x14ac:dyDescent="0.3">
      <c r="A6" s="192"/>
      <c r="B6" s="31" t="s">
        <v>69</v>
      </c>
      <c r="C6" s="50">
        <v>1446.16</v>
      </c>
      <c r="D6" s="50">
        <v>3900.13</v>
      </c>
      <c r="E6" s="50">
        <v>3856.6</v>
      </c>
      <c r="F6" s="50"/>
      <c r="G6" s="50"/>
      <c r="H6" s="50"/>
      <c r="I6" s="50"/>
      <c r="J6" s="50"/>
      <c r="K6" s="50"/>
      <c r="L6" s="50"/>
      <c r="M6" s="50"/>
      <c r="N6" s="50"/>
      <c r="O6" s="237">
        <f t="shared" si="0"/>
        <v>3067.6299999999997</v>
      </c>
      <c r="P6" s="237">
        <f t="shared" si="1"/>
        <v>9202.89</v>
      </c>
      <c r="Q6" s="238">
        <f t="shared" si="2"/>
        <v>3900.13</v>
      </c>
      <c r="R6" s="193"/>
    </row>
    <row r="7" spans="1:18" ht="15.95" customHeight="1" thickBot="1" x14ac:dyDescent="0.3">
      <c r="A7" s="192"/>
      <c r="B7" s="31" t="s">
        <v>70</v>
      </c>
      <c r="C7" s="50">
        <v>956.36</v>
      </c>
      <c r="D7" s="50">
        <v>4017.49</v>
      </c>
      <c r="E7" s="50">
        <v>2342.4</v>
      </c>
      <c r="F7" s="50"/>
      <c r="G7" s="50"/>
      <c r="H7" s="50"/>
      <c r="I7" s="50"/>
      <c r="J7" s="50"/>
      <c r="K7" s="50"/>
      <c r="L7" s="50"/>
      <c r="M7" s="50"/>
      <c r="N7" s="50"/>
      <c r="O7" s="237">
        <f t="shared" si="0"/>
        <v>2438.75</v>
      </c>
      <c r="P7" s="237">
        <f t="shared" si="1"/>
        <v>7316.25</v>
      </c>
      <c r="Q7" s="238">
        <f t="shared" si="2"/>
        <v>4017.49</v>
      </c>
      <c r="R7" s="193"/>
    </row>
    <row r="8" spans="1:18" ht="15.95" customHeight="1" thickBot="1" x14ac:dyDescent="0.3">
      <c r="A8" s="192"/>
      <c r="B8" s="31" t="s">
        <v>31</v>
      </c>
      <c r="C8" s="50">
        <v>4418.24</v>
      </c>
      <c r="D8" s="50"/>
      <c r="E8" s="50">
        <v>4466.7700000000004</v>
      </c>
      <c r="F8" s="50"/>
      <c r="G8" s="50"/>
      <c r="H8" s="50"/>
      <c r="I8" s="50"/>
      <c r="J8" s="50"/>
      <c r="K8" s="50"/>
      <c r="L8" s="50"/>
      <c r="M8" s="50"/>
      <c r="N8" s="50"/>
      <c r="O8" s="237">
        <f t="shared" si="0"/>
        <v>4442.5050000000001</v>
      </c>
      <c r="P8" s="237">
        <f t="shared" si="1"/>
        <v>8885.01</v>
      </c>
      <c r="Q8" s="238">
        <f t="shared" si="2"/>
        <v>4466.7700000000004</v>
      </c>
      <c r="R8" s="193"/>
    </row>
    <row r="9" spans="1:18" ht="15.95" customHeight="1" thickBot="1" x14ac:dyDescent="0.3">
      <c r="A9" s="192"/>
      <c r="B9" s="31" t="s">
        <v>32</v>
      </c>
      <c r="C9" s="50">
        <v>9165.2800000000007</v>
      </c>
      <c r="D9" s="50">
        <v>4086.02</v>
      </c>
      <c r="E9" s="50">
        <v>201.78</v>
      </c>
      <c r="F9" s="50"/>
      <c r="G9" s="50"/>
      <c r="H9" s="50"/>
      <c r="I9" s="50"/>
      <c r="J9" s="50"/>
      <c r="K9" s="50"/>
      <c r="L9" s="50"/>
      <c r="M9" s="50"/>
      <c r="N9" s="50"/>
      <c r="O9" s="237">
        <f t="shared" si="0"/>
        <v>4484.3600000000006</v>
      </c>
      <c r="P9" s="237">
        <f t="shared" si="1"/>
        <v>13453.080000000002</v>
      </c>
      <c r="Q9" s="238">
        <f t="shared" si="2"/>
        <v>9165.2800000000007</v>
      </c>
      <c r="R9" s="193"/>
    </row>
    <row r="10" spans="1:18" ht="15.95" customHeight="1" thickBot="1" x14ac:dyDescent="0.3">
      <c r="A10" s="192"/>
      <c r="B10" s="31" t="s">
        <v>33</v>
      </c>
      <c r="C10" s="50">
        <v>61.53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237">
        <f t="shared" si="0"/>
        <v>61.53</v>
      </c>
      <c r="P10" s="237">
        <f t="shared" si="1"/>
        <v>61.53</v>
      </c>
      <c r="Q10" s="238">
        <f t="shared" si="2"/>
        <v>61.53</v>
      </c>
      <c r="R10" s="193"/>
    </row>
    <row r="11" spans="1:18" ht="15.95" customHeight="1" thickBot="1" x14ac:dyDescent="0.3">
      <c r="A11" s="192"/>
      <c r="B11" s="31" t="s">
        <v>71</v>
      </c>
      <c r="C11" s="50">
        <v>3271.62</v>
      </c>
      <c r="D11" s="50">
        <v>1052.6500000000001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237">
        <f t="shared" si="0"/>
        <v>2162.1350000000002</v>
      </c>
      <c r="P11" s="237">
        <f t="shared" si="1"/>
        <v>4324.2700000000004</v>
      </c>
      <c r="Q11" s="238">
        <f t="shared" si="2"/>
        <v>3271.62</v>
      </c>
      <c r="R11" s="193"/>
    </row>
    <row r="12" spans="1:18" ht="15.95" customHeight="1" thickBot="1" x14ac:dyDescent="0.3">
      <c r="A12" s="192"/>
      <c r="B12" s="36" t="s">
        <v>72</v>
      </c>
      <c r="C12" s="50">
        <v>2150.88</v>
      </c>
      <c r="D12" s="50">
        <v>13791.54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237">
        <f t="shared" si="0"/>
        <v>7971.2100000000009</v>
      </c>
      <c r="P12" s="237">
        <f t="shared" si="1"/>
        <v>15942.420000000002</v>
      </c>
      <c r="Q12" s="238">
        <f t="shared" si="2"/>
        <v>13791.54</v>
      </c>
      <c r="R12" s="193"/>
    </row>
    <row r="13" spans="1:18" ht="15.95" customHeight="1" thickBot="1" x14ac:dyDescent="0.3">
      <c r="A13" s="192"/>
      <c r="B13" s="37" t="s">
        <v>35</v>
      </c>
      <c r="C13" s="50">
        <v>74821.33</v>
      </c>
      <c r="D13" s="50">
        <v>13810.8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239">
        <f t="shared" si="0"/>
        <v>44316.065000000002</v>
      </c>
      <c r="P13" s="239">
        <f t="shared" si="1"/>
        <v>88632.13</v>
      </c>
      <c r="Q13" s="240">
        <f t="shared" si="2"/>
        <v>74821.33</v>
      </c>
      <c r="R13" s="193"/>
    </row>
    <row r="14" spans="1:18" ht="15.95" customHeight="1" thickBot="1" x14ac:dyDescent="0.3">
      <c r="A14" s="194"/>
      <c r="B14" s="209" t="s">
        <v>44</v>
      </c>
      <c r="C14" s="43">
        <f t="shared" ref="C14:Q14" si="3">SUM(C4:C13)</f>
        <v>194796.51</v>
      </c>
      <c r="D14" s="45">
        <f t="shared" si="3"/>
        <v>101021.24</v>
      </c>
      <c r="E14" s="45">
        <f t="shared" si="3"/>
        <v>82873.009999999995</v>
      </c>
      <c r="F14" s="45">
        <f t="shared" si="3"/>
        <v>0</v>
      </c>
      <c r="G14" s="43">
        <f t="shared" si="3"/>
        <v>0</v>
      </c>
      <c r="H14" s="44">
        <f t="shared" si="3"/>
        <v>0</v>
      </c>
      <c r="I14" s="45">
        <f t="shared" si="3"/>
        <v>0</v>
      </c>
      <c r="J14" s="43">
        <f t="shared" si="3"/>
        <v>0</v>
      </c>
      <c r="K14" s="43">
        <f t="shared" si="3"/>
        <v>0</v>
      </c>
      <c r="L14" s="43">
        <f t="shared" si="3"/>
        <v>0</v>
      </c>
      <c r="M14" s="43">
        <f t="shared" si="3"/>
        <v>0</v>
      </c>
      <c r="N14" s="43">
        <f t="shared" si="3"/>
        <v>0</v>
      </c>
      <c r="O14" s="234">
        <f t="shared" si="3"/>
        <v>145901.91166666668</v>
      </c>
      <c r="P14" s="234">
        <f t="shared" si="3"/>
        <v>378690.76000000007</v>
      </c>
      <c r="Q14" s="235">
        <f t="shared" si="3"/>
        <v>212000.8</v>
      </c>
      <c r="R14" s="193"/>
    </row>
    <row r="15" spans="1:18" ht="6" customHeight="1" thickBot="1" x14ac:dyDescent="0.3">
      <c r="A15" s="192"/>
      <c r="B15" s="250"/>
      <c r="C15" s="251"/>
      <c r="D15" s="251"/>
      <c r="E15" s="251"/>
      <c r="F15" s="251"/>
      <c r="G15" s="251"/>
      <c r="H15" s="251"/>
      <c r="I15" s="251"/>
      <c r="J15" s="251"/>
      <c r="K15" s="251"/>
      <c r="L15" s="251"/>
      <c r="M15" s="251"/>
      <c r="N15" s="251"/>
      <c r="O15" s="252"/>
      <c r="P15" s="252"/>
      <c r="Q15" s="252"/>
      <c r="R15" s="193"/>
    </row>
    <row r="16" spans="1:18" ht="15.95" customHeight="1" thickBot="1" x14ac:dyDescent="0.3">
      <c r="A16" s="194"/>
      <c r="B16" s="210" t="s">
        <v>3</v>
      </c>
      <c r="C16" s="210"/>
      <c r="D16" s="210"/>
      <c r="E16" s="210"/>
      <c r="F16" s="210"/>
      <c r="G16" s="210"/>
      <c r="H16" s="210"/>
      <c r="I16" s="210"/>
      <c r="J16" s="210"/>
      <c r="K16" s="210"/>
      <c r="L16" s="210"/>
      <c r="M16" s="210"/>
      <c r="N16" s="210"/>
      <c r="O16" s="203"/>
      <c r="P16" s="203"/>
      <c r="Q16" s="241"/>
      <c r="R16" s="193"/>
    </row>
    <row r="17" spans="1:21" ht="15.95" customHeight="1" thickBot="1" x14ac:dyDescent="0.3">
      <c r="A17" s="194"/>
      <c r="B17" s="46" t="s">
        <v>37</v>
      </c>
      <c r="C17" s="47" t="s">
        <v>0</v>
      </c>
      <c r="D17" s="48" t="s">
        <v>14</v>
      </c>
      <c r="E17" s="46" t="s">
        <v>15</v>
      </c>
      <c r="F17" s="48" t="s">
        <v>16</v>
      </c>
      <c r="G17" s="48" t="s">
        <v>17</v>
      </c>
      <c r="H17" s="48" t="s">
        <v>18</v>
      </c>
      <c r="I17" s="48" t="s">
        <v>19</v>
      </c>
      <c r="J17" s="48" t="s">
        <v>20</v>
      </c>
      <c r="K17" s="48" t="s">
        <v>21</v>
      </c>
      <c r="L17" s="48" t="s">
        <v>22</v>
      </c>
      <c r="M17" s="48" t="s">
        <v>23</v>
      </c>
      <c r="N17" s="47" t="s">
        <v>24</v>
      </c>
      <c r="O17" s="49" t="s">
        <v>25</v>
      </c>
      <c r="P17" s="49" t="s">
        <v>26</v>
      </c>
      <c r="Q17" s="49" t="s">
        <v>27</v>
      </c>
      <c r="R17" s="193"/>
    </row>
    <row r="18" spans="1:21" ht="15.95" customHeight="1" thickBot="1" x14ac:dyDescent="0.3">
      <c r="A18" s="194"/>
      <c r="B18" s="23" t="s">
        <v>67</v>
      </c>
      <c r="C18" s="50">
        <v>85083.43</v>
      </c>
      <c r="D18" s="50">
        <v>62230.11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237">
        <f>AVERAGE(C18:N18)</f>
        <v>73656.76999999999</v>
      </c>
      <c r="P18" s="237">
        <f>SUM(C18:N18)</f>
        <v>147313.53999999998</v>
      </c>
      <c r="Q18" s="238">
        <f>MAX(C18:N18)</f>
        <v>85083.43</v>
      </c>
      <c r="R18" s="193"/>
    </row>
    <row r="19" spans="1:21" ht="15.95" customHeight="1" thickBot="1" x14ac:dyDescent="0.3">
      <c r="A19" s="194"/>
      <c r="B19" s="31" t="s">
        <v>68</v>
      </c>
      <c r="C19" s="50">
        <v>3575.36</v>
      </c>
      <c r="D19" s="50">
        <v>2872.09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237">
        <f t="shared" ref="O19:O27" si="4">AVERAGE(C19:N19)</f>
        <v>3223.7250000000004</v>
      </c>
      <c r="P19" s="237">
        <f t="shared" ref="P19:P27" si="5">SUM(C19:N19)</f>
        <v>6447.4500000000007</v>
      </c>
      <c r="Q19" s="238">
        <f t="shared" ref="Q19:Q27" si="6">MAX(C19:N19)</f>
        <v>3575.36</v>
      </c>
      <c r="R19" s="193"/>
    </row>
    <row r="20" spans="1:21" ht="15.95" customHeight="1" thickBot="1" x14ac:dyDescent="0.3">
      <c r="A20" s="194"/>
      <c r="B20" s="31" t="s">
        <v>69</v>
      </c>
      <c r="C20" s="50">
        <v>1229.02</v>
      </c>
      <c r="D20" s="50">
        <v>1920.84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237">
        <f t="shared" si="4"/>
        <v>1574.9299999999998</v>
      </c>
      <c r="P20" s="237">
        <f t="shared" si="5"/>
        <v>3149.8599999999997</v>
      </c>
      <c r="Q20" s="238">
        <f t="shared" si="6"/>
        <v>1920.84</v>
      </c>
      <c r="R20" s="193"/>
    </row>
    <row r="21" spans="1:21" ht="15.95" customHeight="1" thickBot="1" x14ac:dyDescent="0.3">
      <c r="A21" s="194"/>
      <c r="B21" s="31" t="s">
        <v>70</v>
      </c>
      <c r="C21" s="50">
        <v>1863.23</v>
      </c>
      <c r="D21" s="50">
        <v>1715.85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237">
        <f t="shared" si="4"/>
        <v>1789.54</v>
      </c>
      <c r="P21" s="237">
        <f t="shared" si="5"/>
        <v>3579.08</v>
      </c>
      <c r="Q21" s="238">
        <f t="shared" si="6"/>
        <v>1863.23</v>
      </c>
      <c r="R21" s="193"/>
    </row>
    <row r="22" spans="1:21" ht="15.95" customHeight="1" thickBot="1" x14ac:dyDescent="0.3">
      <c r="A22" s="194"/>
      <c r="B22" s="31" t="s">
        <v>31</v>
      </c>
      <c r="C22" s="50">
        <v>5274.4</v>
      </c>
      <c r="D22" s="50">
        <v>1217.71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237">
        <f t="shared" si="4"/>
        <v>3246.0549999999998</v>
      </c>
      <c r="P22" s="237">
        <f t="shared" si="5"/>
        <v>6492.11</v>
      </c>
      <c r="Q22" s="238">
        <f t="shared" si="6"/>
        <v>5274.4</v>
      </c>
      <c r="R22" s="193"/>
    </row>
    <row r="23" spans="1:21" ht="15.95" customHeight="1" thickBot="1" x14ac:dyDescent="0.3">
      <c r="A23" s="194"/>
      <c r="B23" s="31" t="s">
        <v>32</v>
      </c>
      <c r="C23" s="50">
        <v>731.38</v>
      </c>
      <c r="D23" s="50">
        <v>45.96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237">
        <f t="shared" si="4"/>
        <v>388.67</v>
      </c>
      <c r="P23" s="237">
        <f t="shared" si="5"/>
        <v>777.34</v>
      </c>
      <c r="Q23" s="238">
        <f t="shared" si="6"/>
        <v>731.38</v>
      </c>
      <c r="R23" s="193"/>
    </row>
    <row r="24" spans="1:21" ht="15.95" customHeight="1" thickBot="1" x14ac:dyDescent="0.3">
      <c r="A24" s="194"/>
      <c r="B24" s="31" t="s">
        <v>33</v>
      </c>
      <c r="C24" s="50">
        <v>53.67</v>
      </c>
      <c r="D24" s="50">
        <v>71.11</v>
      </c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237">
        <f t="shared" si="4"/>
        <v>62.39</v>
      </c>
      <c r="P24" s="237">
        <f t="shared" si="5"/>
        <v>124.78</v>
      </c>
      <c r="Q24" s="238">
        <f t="shared" si="6"/>
        <v>71.11</v>
      </c>
      <c r="R24" s="193"/>
      <c r="T24" s="14"/>
      <c r="U24" s="14"/>
    </row>
    <row r="25" spans="1:21" ht="15.95" customHeight="1" thickBot="1" x14ac:dyDescent="0.3">
      <c r="A25" s="194"/>
      <c r="B25" s="31" t="s">
        <v>71</v>
      </c>
      <c r="C25" s="50">
        <v>527.47</v>
      </c>
      <c r="D25" s="50">
        <v>2017.07</v>
      </c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237">
        <f t="shared" si="4"/>
        <v>1272.27</v>
      </c>
      <c r="P25" s="237">
        <f t="shared" si="5"/>
        <v>2544.54</v>
      </c>
      <c r="Q25" s="238">
        <f t="shared" si="6"/>
        <v>2017.07</v>
      </c>
      <c r="R25" s="193"/>
    </row>
    <row r="26" spans="1:21" ht="15.95" customHeight="1" thickBot="1" x14ac:dyDescent="0.3">
      <c r="A26" s="194"/>
      <c r="B26" s="36" t="s">
        <v>72</v>
      </c>
      <c r="C26" s="50">
        <v>533.09</v>
      </c>
      <c r="D26" s="50">
        <v>5124.46</v>
      </c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237">
        <f t="shared" si="4"/>
        <v>2828.7750000000001</v>
      </c>
      <c r="P26" s="237">
        <f t="shared" si="5"/>
        <v>5657.55</v>
      </c>
      <c r="Q26" s="238">
        <f t="shared" si="6"/>
        <v>5124.46</v>
      </c>
      <c r="R26" s="193"/>
    </row>
    <row r="27" spans="1:21" ht="15.95" customHeight="1" thickBot="1" x14ac:dyDescent="0.3">
      <c r="A27" s="194"/>
      <c r="B27" s="37" t="s">
        <v>35</v>
      </c>
      <c r="C27" s="50">
        <v>123514.37</v>
      </c>
      <c r="D27" s="50">
        <v>16361.7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239">
        <f t="shared" si="4"/>
        <v>69938.035000000003</v>
      </c>
      <c r="P27" s="239">
        <f t="shared" si="5"/>
        <v>139876.07</v>
      </c>
      <c r="Q27" s="240">
        <f t="shared" si="6"/>
        <v>123514.37</v>
      </c>
      <c r="R27" s="193"/>
    </row>
    <row r="28" spans="1:21" ht="15.95" customHeight="1" thickBot="1" x14ac:dyDescent="0.3">
      <c r="A28" s="194"/>
      <c r="B28" s="211" t="s">
        <v>44</v>
      </c>
      <c r="C28" s="73">
        <f>SUM(C18:C27)</f>
        <v>222385.41999999998</v>
      </c>
      <c r="D28" s="73">
        <f>SUM(D4:D13)</f>
        <v>101021.24</v>
      </c>
      <c r="E28" s="73">
        <f t="shared" ref="E28:Q28" si="7">SUM(E18:E27)</f>
        <v>0</v>
      </c>
      <c r="F28" s="73">
        <f t="shared" si="7"/>
        <v>0</v>
      </c>
      <c r="G28" s="73">
        <f t="shared" si="7"/>
        <v>0</v>
      </c>
      <c r="H28" s="73">
        <f t="shared" si="7"/>
        <v>0</v>
      </c>
      <c r="I28" s="73">
        <f t="shared" si="7"/>
        <v>0</v>
      </c>
      <c r="J28" s="73">
        <f t="shared" si="7"/>
        <v>0</v>
      </c>
      <c r="K28" s="73">
        <f t="shared" si="7"/>
        <v>0</v>
      </c>
      <c r="L28" s="73">
        <f t="shared" si="7"/>
        <v>0</v>
      </c>
      <c r="M28" s="73">
        <f t="shared" si="7"/>
        <v>0</v>
      </c>
      <c r="N28" s="73">
        <f t="shared" si="7"/>
        <v>0</v>
      </c>
      <c r="O28" s="218">
        <f t="shared" si="7"/>
        <v>157981.15999999997</v>
      </c>
      <c r="P28" s="218">
        <f t="shared" si="7"/>
        <v>315962.31999999995</v>
      </c>
      <c r="Q28" s="242">
        <f t="shared" si="7"/>
        <v>229175.65</v>
      </c>
      <c r="R28" s="193"/>
    </row>
    <row r="29" spans="1:21" ht="6" customHeight="1" thickBot="1" x14ac:dyDescent="0.3">
      <c r="A29" s="192"/>
      <c r="B29" s="212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219"/>
      <c r="P29" s="219"/>
      <c r="Q29" s="243"/>
      <c r="R29" s="193"/>
    </row>
    <row r="30" spans="1:21" ht="15.95" customHeight="1" thickBot="1" x14ac:dyDescent="0.3">
      <c r="A30" s="194"/>
      <c r="B30" s="213" t="s">
        <v>4</v>
      </c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04"/>
      <c r="P30" s="204"/>
      <c r="Q30" s="244"/>
      <c r="R30" s="193"/>
    </row>
    <row r="31" spans="1:21" ht="15.95" customHeight="1" thickBot="1" x14ac:dyDescent="0.3">
      <c r="A31" s="194"/>
      <c r="B31" s="46" t="s">
        <v>37</v>
      </c>
      <c r="C31" s="47" t="s">
        <v>0</v>
      </c>
      <c r="D31" s="48" t="s">
        <v>14</v>
      </c>
      <c r="E31" s="46" t="s">
        <v>15</v>
      </c>
      <c r="F31" s="48" t="s">
        <v>16</v>
      </c>
      <c r="G31" s="48" t="s">
        <v>17</v>
      </c>
      <c r="H31" s="48" t="s">
        <v>18</v>
      </c>
      <c r="I31" s="48" t="s">
        <v>19</v>
      </c>
      <c r="J31" s="48" t="s">
        <v>20</v>
      </c>
      <c r="K31" s="48" t="s">
        <v>21</v>
      </c>
      <c r="L31" s="48" t="s">
        <v>22</v>
      </c>
      <c r="M31" s="48" t="s">
        <v>23</v>
      </c>
      <c r="N31" s="47" t="s">
        <v>24</v>
      </c>
      <c r="O31" s="49" t="s">
        <v>25</v>
      </c>
      <c r="P31" s="49" t="s">
        <v>26</v>
      </c>
      <c r="Q31" s="49" t="s">
        <v>27</v>
      </c>
      <c r="R31" s="193"/>
    </row>
    <row r="32" spans="1:21" ht="15.95" customHeight="1" thickBot="1" x14ac:dyDescent="0.3">
      <c r="A32" s="194"/>
      <c r="B32" s="23" t="s">
        <v>67</v>
      </c>
      <c r="C32" s="50">
        <v>28368.07</v>
      </c>
      <c r="D32" s="50">
        <v>20215.09</v>
      </c>
      <c r="E32" s="50">
        <v>25184.83</v>
      </c>
      <c r="F32" s="50"/>
      <c r="G32" s="50"/>
      <c r="H32" s="50"/>
      <c r="I32" s="50"/>
      <c r="J32" s="50"/>
      <c r="K32" s="50"/>
      <c r="L32" s="50"/>
      <c r="M32" s="50"/>
      <c r="N32" s="50"/>
      <c r="O32" s="237">
        <f>AVERAGE(B32:N32)</f>
        <v>24589.33</v>
      </c>
      <c r="P32" s="238">
        <f>SUM(C32:N32)</f>
        <v>73767.990000000005</v>
      </c>
      <c r="Q32" s="238">
        <f>MAX(C32:N32)</f>
        <v>28368.07</v>
      </c>
      <c r="R32" s="193"/>
    </row>
    <row r="33" spans="1:18" ht="15.95" customHeight="1" thickBot="1" x14ac:dyDescent="0.3">
      <c r="A33" s="194"/>
      <c r="B33" s="31" t="s">
        <v>68</v>
      </c>
      <c r="C33" s="50">
        <v>2337.25</v>
      </c>
      <c r="D33" s="50">
        <v>2798.13</v>
      </c>
      <c r="E33" s="50">
        <v>2835.08</v>
      </c>
      <c r="F33" s="50"/>
      <c r="G33" s="50"/>
      <c r="H33" s="50"/>
      <c r="I33" s="50"/>
      <c r="J33" s="50"/>
      <c r="K33" s="50"/>
      <c r="L33" s="50"/>
      <c r="M33" s="50"/>
      <c r="N33" s="50"/>
      <c r="O33" s="237">
        <f t="shared" ref="O33:O41" si="8">AVERAGE(B33:N33)</f>
        <v>2656.82</v>
      </c>
      <c r="P33" s="238">
        <f t="shared" ref="P33:P41" si="9">SUM(C33:N33)</f>
        <v>7970.46</v>
      </c>
      <c r="Q33" s="238">
        <f t="shared" ref="Q33:Q41" si="10">MAX(C33:N33)</f>
        <v>2835.08</v>
      </c>
      <c r="R33" s="193"/>
    </row>
    <row r="34" spans="1:18" ht="15.95" customHeight="1" thickBot="1" x14ac:dyDescent="0.3">
      <c r="A34" s="194"/>
      <c r="B34" s="31" t="s">
        <v>69</v>
      </c>
      <c r="C34" s="50">
        <v>198.81</v>
      </c>
      <c r="D34" s="50">
        <v>302.27</v>
      </c>
      <c r="E34" s="50">
        <v>645.32000000000005</v>
      </c>
      <c r="F34" s="50"/>
      <c r="G34" s="50"/>
      <c r="H34" s="50"/>
      <c r="I34" s="50"/>
      <c r="J34" s="50"/>
      <c r="K34" s="50"/>
      <c r="L34" s="50"/>
      <c r="M34" s="50"/>
      <c r="N34" s="50"/>
      <c r="O34" s="237">
        <f t="shared" si="8"/>
        <v>382.13333333333338</v>
      </c>
      <c r="P34" s="238">
        <f t="shared" si="9"/>
        <v>1146.4000000000001</v>
      </c>
      <c r="Q34" s="238">
        <f t="shared" si="10"/>
        <v>645.32000000000005</v>
      </c>
      <c r="R34" s="193"/>
    </row>
    <row r="35" spans="1:18" ht="15.95" customHeight="1" thickBot="1" x14ac:dyDescent="0.3">
      <c r="A35" s="194"/>
      <c r="B35" s="31" t="s">
        <v>70</v>
      </c>
      <c r="C35" s="50">
        <v>1569.27</v>
      </c>
      <c r="D35" s="50">
        <v>866.71</v>
      </c>
      <c r="E35" s="50">
        <v>941.21</v>
      </c>
      <c r="F35" s="50"/>
      <c r="G35" s="50"/>
      <c r="H35" s="50"/>
      <c r="I35" s="50"/>
      <c r="J35" s="50"/>
      <c r="K35" s="50"/>
      <c r="L35" s="50"/>
      <c r="M35" s="50"/>
      <c r="N35" s="50"/>
      <c r="O35" s="237">
        <f t="shared" si="8"/>
        <v>1125.73</v>
      </c>
      <c r="P35" s="238">
        <f t="shared" si="9"/>
        <v>3377.19</v>
      </c>
      <c r="Q35" s="238">
        <f t="shared" si="10"/>
        <v>1569.27</v>
      </c>
      <c r="R35" s="193"/>
    </row>
    <row r="36" spans="1:18" ht="15.95" customHeight="1" thickBot="1" x14ac:dyDescent="0.3">
      <c r="A36" s="194"/>
      <c r="B36" s="31" t="s">
        <v>31</v>
      </c>
      <c r="C36" s="50">
        <v>932.63</v>
      </c>
      <c r="D36" s="50">
        <v>822.63</v>
      </c>
      <c r="E36" s="50">
        <v>224.84</v>
      </c>
      <c r="F36" s="50"/>
      <c r="G36" s="50"/>
      <c r="H36" s="50"/>
      <c r="I36" s="50"/>
      <c r="J36" s="50"/>
      <c r="K36" s="50"/>
      <c r="L36" s="50"/>
      <c r="M36" s="50"/>
      <c r="N36" s="50"/>
      <c r="O36" s="237">
        <f t="shared" si="8"/>
        <v>660.0333333333333</v>
      </c>
      <c r="P36" s="238">
        <f t="shared" si="9"/>
        <v>1980.1</v>
      </c>
      <c r="Q36" s="238">
        <f t="shared" si="10"/>
        <v>932.63</v>
      </c>
      <c r="R36" s="193"/>
    </row>
    <row r="37" spans="1:18" ht="15.95" customHeight="1" thickBot="1" x14ac:dyDescent="0.3">
      <c r="A37" s="194"/>
      <c r="B37" s="31" t="s">
        <v>32</v>
      </c>
      <c r="C37" s="50">
        <v>0</v>
      </c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237">
        <f t="shared" si="8"/>
        <v>0</v>
      </c>
      <c r="P37" s="238">
        <f t="shared" si="9"/>
        <v>0</v>
      </c>
      <c r="Q37" s="238">
        <f t="shared" si="10"/>
        <v>0</v>
      </c>
      <c r="R37" s="193"/>
    </row>
    <row r="38" spans="1:18" ht="15.95" customHeight="1" thickBot="1" x14ac:dyDescent="0.3">
      <c r="A38" s="194"/>
      <c r="B38" s="31" t="s">
        <v>33</v>
      </c>
      <c r="C38" s="50">
        <v>41</v>
      </c>
      <c r="D38" s="50"/>
      <c r="E38" s="50">
        <v>59.7</v>
      </c>
      <c r="F38" s="50"/>
      <c r="G38" s="50"/>
      <c r="H38" s="50"/>
      <c r="I38" s="50"/>
      <c r="J38" s="50"/>
      <c r="K38" s="50"/>
      <c r="L38" s="50"/>
      <c r="M38" s="50"/>
      <c r="N38" s="50"/>
      <c r="O38" s="237">
        <f t="shared" si="8"/>
        <v>50.35</v>
      </c>
      <c r="P38" s="238">
        <f t="shared" si="9"/>
        <v>100.7</v>
      </c>
      <c r="Q38" s="238">
        <f t="shared" si="10"/>
        <v>59.7</v>
      </c>
      <c r="R38" s="193"/>
    </row>
    <row r="39" spans="1:18" ht="15.95" customHeight="1" thickBot="1" x14ac:dyDescent="0.3">
      <c r="A39" s="194"/>
      <c r="B39" s="31" t="s">
        <v>71</v>
      </c>
      <c r="C39" s="50">
        <v>583.99</v>
      </c>
      <c r="D39" s="50">
        <v>409.69</v>
      </c>
      <c r="E39" s="50">
        <v>745.63</v>
      </c>
      <c r="F39" s="50"/>
      <c r="G39" s="50"/>
      <c r="H39" s="50"/>
      <c r="I39" s="50"/>
      <c r="J39" s="50"/>
      <c r="K39" s="50"/>
      <c r="L39" s="50"/>
      <c r="M39" s="50"/>
      <c r="N39" s="50"/>
      <c r="O39" s="237">
        <f t="shared" si="8"/>
        <v>579.77</v>
      </c>
      <c r="P39" s="238">
        <f t="shared" si="9"/>
        <v>1739.31</v>
      </c>
      <c r="Q39" s="238">
        <f t="shared" si="10"/>
        <v>745.63</v>
      </c>
      <c r="R39" s="193"/>
    </row>
    <row r="40" spans="1:18" ht="15.95" customHeight="1" thickBot="1" x14ac:dyDescent="0.3">
      <c r="A40" s="194"/>
      <c r="B40" s="36" t="s">
        <v>72</v>
      </c>
      <c r="C40" s="50">
        <v>1464.63</v>
      </c>
      <c r="D40" s="50">
        <v>1988.33</v>
      </c>
      <c r="E40" s="50">
        <v>2245.7199999999998</v>
      </c>
      <c r="F40" s="50"/>
      <c r="G40" s="50"/>
      <c r="H40" s="50"/>
      <c r="I40" s="50"/>
      <c r="J40" s="50"/>
      <c r="K40" s="50"/>
      <c r="L40" s="50"/>
      <c r="M40" s="50"/>
      <c r="N40" s="50"/>
      <c r="O40" s="237">
        <f t="shared" si="8"/>
        <v>1899.5600000000002</v>
      </c>
      <c r="P40" s="238">
        <f t="shared" si="9"/>
        <v>5698.68</v>
      </c>
      <c r="Q40" s="238">
        <f t="shared" si="10"/>
        <v>2245.7199999999998</v>
      </c>
      <c r="R40" s="193"/>
    </row>
    <row r="41" spans="1:18" ht="15.95" customHeight="1" thickBot="1" x14ac:dyDescent="0.3">
      <c r="A41" s="194"/>
      <c r="B41" s="37" t="s">
        <v>35</v>
      </c>
      <c r="C41" s="50">
        <v>20337.12</v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245">
        <f t="shared" si="8"/>
        <v>20337.12</v>
      </c>
      <c r="P41" s="246">
        <f t="shared" si="9"/>
        <v>20337.12</v>
      </c>
      <c r="Q41" s="247">
        <f t="shared" si="10"/>
        <v>20337.12</v>
      </c>
      <c r="R41" s="193"/>
    </row>
    <row r="42" spans="1:18" ht="15.95" customHeight="1" thickBot="1" x14ac:dyDescent="0.3">
      <c r="A42" s="194"/>
      <c r="B42" s="211" t="s">
        <v>44</v>
      </c>
      <c r="C42" s="73">
        <f>SUM(C32:C41)</f>
        <v>55832.76999999999</v>
      </c>
      <c r="D42" s="73">
        <f t="shared" ref="D42:I42" si="11">SUM(D32:D41)</f>
        <v>27402.85</v>
      </c>
      <c r="E42" s="73">
        <f t="shared" si="11"/>
        <v>32882.33</v>
      </c>
      <c r="F42" s="73">
        <f t="shared" si="11"/>
        <v>0</v>
      </c>
      <c r="G42" s="73">
        <f t="shared" si="11"/>
        <v>0</v>
      </c>
      <c r="H42" s="73">
        <f t="shared" si="11"/>
        <v>0</v>
      </c>
      <c r="I42" s="80">
        <f t="shared" si="11"/>
        <v>0</v>
      </c>
      <c r="J42" s="73">
        <f>SUM(J32:J41)</f>
        <v>0</v>
      </c>
      <c r="K42" s="73">
        <f t="shared" ref="K42:N42" si="12">SUM(K32:K41)</f>
        <v>0</v>
      </c>
      <c r="L42" s="73">
        <f t="shared" si="12"/>
        <v>0</v>
      </c>
      <c r="M42" s="73">
        <f t="shared" si="12"/>
        <v>0</v>
      </c>
      <c r="N42" s="73">
        <f t="shared" si="12"/>
        <v>0</v>
      </c>
      <c r="O42" s="220">
        <f>SUM(O32:O41)</f>
        <v>52280.846666666665</v>
      </c>
      <c r="P42" s="220">
        <f>SUM(P32:P41)</f>
        <v>116117.95000000001</v>
      </c>
      <c r="Q42" s="248">
        <f>SUM(Q32:Q41)</f>
        <v>57738.539999999994</v>
      </c>
      <c r="R42" s="193"/>
    </row>
    <row r="43" spans="1:18" ht="6" customHeight="1" thickBot="1" x14ac:dyDescent="0.3">
      <c r="A43" s="192"/>
      <c r="B43" s="212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219"/>
      <c r="P43" s="219"/>
      <c r="Q43" s="243"/>
      <c r="R43" s="193"/>
    </row>
    <row r="44" spans="1:18" ht="15.95" customHeight="1" thickBot="1" x14ac:dyDescent="0.3">
      <c r="A44" s="194"/>
      <c r="B44" s="213" t="s">
        <v>55</v>
      </c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204"/>
      <c r="P44" s="204"/>
      <c r="Q44" s="244"/>
      <c r="R44" s="193"/>
    </row>
    <row r="45" spans="1:18" ht="15.95" customHeight="1" thickBot="1" x14ac:dyDescent="0.3">
      <c r="A45" s="194"/>
      <c r="B45" s="46" t="s">
        <v>37</v>
      </c>
      <c r="C45" s="47" t="s">
        <v>0</v>
      </c>
      <c r="D45" s="48" t="s">
        <v>14</v>
      </c>
      <c r="E45" s="46" t="s">
        <v>15</v>
      </c>
      <c r="F45" s="48" t="s">
        <v>16</v>
      </c>
      <c r="G45" s="48" t="s">
        <v>17</v>
      </c>
      <c r="H45" s="48" t="s">
        <v>18</v>
      </c>
      <c r="I45" s="48" t="s">
        <v>19</v>
      </c>
      <c r="J45" s="48" t="s">
        <v>20</v>
      </c>
      <c r="K45" s="48" t="s">
        <v>21</v>
      </c>
      <c r="L45" s="48" t="s">
        <v>22</v>
      </c>
      <c r="M45" s="48" t="s">
        <v>23</v>
      </c>
      <c r="N45" s="47" t="s">
        <v>24</v>
      </c>
      <c r="O45" s="49" t="s">
        <v>25</v>
      </c>
      <c r="P45" s="49" t="s">
        <v>26</v>
      </c>
      <c r="Q45" s="49" t="s">
        <v>27</v>
      </c>
      <c r="R45" s="193"/>
    </row>
    <row r="46" spans="1:18" ht="15.95" customHeight="1" thickBot="1" x14ac:dyDescent="0.3">
      <c r="A46" s="194"/>
      <c r="B46" s="263" t="s">
        <v>67</v>
      </c>
      <c r="C46" s="264">
        <v>79216.350000000006</v>
      </c>
      <c r="D46" s="50">
        <v>56332.82</v>
      </c>
      <c r="E46" s="50">
        <v>69167.600000000006</v>
      </c>
      <c r="F46" s="50"/>
      <c r="G46" s="50"/>
      <c r="H46" s="50"/>
      <c r="I46" s="50"/>
      <c r="J46" s="50"/>
      <c r="K46" s="50"/>
      <c r="L46" s="50"/>
      <c r="M46" s="50"/>
      <c r="N46" s="50"/>
      <c r="O46" s="237">
        <f>AVERAGE(B46:N46)</f>
        <v>68238.92333333334</v>
      </c>
      <c r="P46" s="237">
        <f>SUM(C46:N46)</f>
        <v>204716.77000000002</v>
      </c>
      <c r="Q46" s="238">
        <f>MAX(C46:N46)</f>
        <v>79216.350000000006</v>
      </c>
      <c r="R46" s="193"/>
    </row>
    <row r="47" spans="1:18" ht="15.95" customHeight="1" thickBot="1" x14ac:dyDescent="0.3">
      <c r="A47" s="194"/>
      <c r="B47" s="265" t="s">
        <v>68</v>
      </c>
      <c r="C47" s="266">
        <v>1341.23</v>
      </c>
      <c r="D47" s="50">
        <v>1383.39</v>
      </c>
      <c r="E47" s="50">
        <v>2400.5500000000002</v>
      </c>
      <c r="F47" s="50"/>
      <c r="G47" s="50"/>
      <c r="H47" s="50"/>
      <c r="I47" s="50"/>
      <c r="J47" s="50"/>
      <c r="K47" s="50"/>
      <c r="L47" s="50"/>
      <c r="M47" s="50"/>
      <c r="N47" s="50"/>
      <c r="O47" s="237">
        <f t="shared" ref="O47:O55" si="13">AVERAGE(B47:N47)</f>
        <v>1708.39</v>
      </c>
      <c r="P47" s="237">
        <f t="shared" ref="P47:P55" si="14">SUM(C47:N47)</f>
        <v>5125.17</v>
      </c>
      <c r="Q47" s="238">
        <f t="shared" ref="Q47:Q55" si="15">MAX(C47:N47)</f>
        <v>2400.5500000000002</v>
      </c>
      <c r="R47" s="193"/>
    </row>
    <row r="48" spans="1:18" ht="15.95" customHeight="1" thickBot="1" x14ac:dyDescent="0.3">
      <c r="A48" s="194"/>
      <c r="B48" s="265" t="s">
        <v>69</v>
      </c>
      <c r="C48" s="266">
        <v>6384.53</v>
      </c>
      <c r="D48" s="50">
        <v>6013.5</v>
      </c>
      <c r="E48" s="50">
        <v>3631.02</v>
      </c>
      <c r="F48" s="50"/>
      <c r="G48" s="50"/>
      <c r="H48" s="50"/>
      <c r="I48" s="50"/>
      <c r="J48" s="50"/>
      <c r="K48" s="50"/>
      <c r="L48" s="50"/>
      <c r="M48" s="50"/>
      <c r="N48" s="50"/>
      <c r="O48" s="237">
        <f t="shared" si="13"/>
        <v>5343.0166666666664</v>
      </c>
      <c r="P48" s="237">
        <f t="shared" si="14"/>
        <v>16029.05</v>
      </c>
      <c r="Q48" s="238">
        <f t="shared" si="15"/>
        <v>6384.53</v>
      </c>
      <c r="R48" s="193"/>
    </row>
    <row r="49" spans="1:18" ht="15.95" customHeight="1" thickBot="1" x14ac:dyDescent="0.3">
      <c r="A49" s="194"/>
      <c r="B49" s="265" t="s">
        <v>70</v>
      </c>
      <c r="C49" s="266">
        <v>3359.35</v>
      </c>
      <c r="D49" s="50">
        <v>3645.67</v>
      </c>
      <c r="E49" s="50">
        <v>4182.7700000000004</v>
      </c>
      <c r="F49" s="50"/>
      <c r="G49" s="50"/>
      <c r="H49" s="50"/>
      <c r="I49" s="50"/>
      <c r="J49" s="50"/>
      <c r="K49" s="50"/>
      <c r="L49" s="50"/>
      <c r="M49" s="50"/>
      <c r="N49" s="50"/>
      <c r="O49" s="237">
        <f t="shared" si="13"/>
        <v>3729.2633333333338</v>
      </c>
      <c r="P49" s="237">
        <f t="shared" si="14"/>
        <v>11187.79</v>
      </c>
      <c r="Q49" s="238">
        <f t="shared" si="15"/>
        <v>4182.7700000000004</v>
      </c>
      <c r="R49" s="193"/>
    </row>
    <row r="50" spans="1:18" ht="15.95" customHeight="1" thickBot="1" x14ac:dyDescent="0.3">
      <c r="A50" s="194"/>
      <c r="B50" s="265" t="s">
        <v>31</v>
      </c>
      <c r="C50" s="266">
        <v>1816.6</v>
      </c>
      <c r="D50" s="50">
        <v>268.64999999999998</v>
      </c>
      <c r="E50" s="50">
        <v>899.79</v>
      </c>
      <c r="F50" s="50"/>
      <c r="G50" s="50"/>
      <c r="H50" s="50"/>
      <c r="I50" s="50"/>
      <c r="J50" s="50"/>
      <c r="K50" s="50"/>
      <c r="L50" s="50"/>
      <c r="M50" s="50"/>
      <c r="N50" s="50"/>
      <c r="O50" s="237">
        <f t="shared" si="13"/>
        <v>995.01333333333332</v>
      </c>
      <c r="P50" s="237">
        <f t="shared" si="14"/>
        <v>2985.04</v>
      </c>
      <c r="Q50" s="238">
        <f t="shared" si="15"/>
        <v>1816.6</v>
      </c>
      <c r="R50" s="193"/>
    </row>
    <row r="51" spans="1:18" ht="15.95" customHeight="1" thickBot="1" x14ac:dyDescent="0.3">
      <c r="A51" s="194"/>
      <c r="B51" s="265" t="s">
        <v>32</v>
      </c>
      <c r="C51" s="266">
        <v>0</v>
      </c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237">
        <f t="shared" si="13"/>
        <v>0</v>
      </c>
      <c r="P51" s="237">
        <f t="shared" si="14"/>
        <v>0</v>
      </c>
      <c r="Q51" s="238">
        <f t="shared" si="15"/>
        <v>0</v>
      </c>
      <c r="R51" s="193"/>
    </row>
    <row r="52" spans="1:18" ht="15.95" customHeight="1" thickBot="1" x14ac:dyDescent="0.3">
      <c r="A52" s="194"/>
      <c r="B52" s="265" t="s">
        <v>33</v>
      </c>
      <c r="C52" s="266">
        <v>0</v>
      </c>
      <c r="D52" s="50">
        <v>27.41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237">
        <f t="shared" si="13"/>
        <v>13.705</v>
      </c>
      <c r="P52" s="237">
        <f t="shared" si="14"/>
        <v>27.41</v>
      </c>
      <c r="Q52" s="238">
        <f t="shared" si="15"/>
        <v>27.41</v>
      </c>
      <c r="R52" s="193"/>
    </row>
    <row r="53" spans="1:18" ht="15.95" customHeight="1" thickBot="1" x14ac:dyDescent="0.3">
      <c r="A53" s="194"/>
      <c r="B53" s="265" t="s">
        <v>71</v>
      </c>
      <c r="C53" s="266">
        <v>2467.5</v>
      </c>
      <c r="D53" s="50">
        <v>1990.25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237">
        <f t="shared" si="13"/>
        <v>2228.875</v>
      </c>
      <c r="P53" s="237">
        <f t="shared" si="14"/>
        <v>4457.75</v>
      </c>
      <c r="Q53" s="238">
        <f t="shared" si="15"/>
        <v>2467.5</v>
      </c>
      <c r="R53" s="193"/>
    </row>
    <row r="54" spans="1:18" ht="15.95" customHeight="1" thickBot="1" x14ac:dyDescent="0.3">
      <c r="A54" s="194"/>
      <c r="B54" s="267" t="s">
        <v>72</v>
      </c>
      <c r="C54" s="266">
        <v>1722.42</v>
      </c>
      <c r="D54" s="50">
        <v>949.11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237">
        <f t="shared" si="13"/>
        <v>1335.7650000000001</v>
      </c>
      <c r="P54" s="237">
        <f t="shared" si="14"/>
        <v>2671.53</v>
      </c>
      <c r="Q54" s="238">
        <f t="shared" si="15"/>
        <v>1722.42</v>
      </c>
      <c r="R54" s="193"/>
    </row>
    <row r="55" spans="1:18" ht="15.95" customHeight="1" thickBot="1" x14ac:dyDescent="0.3">
      <c r="A55" s="194"/>
      <c r="B55" s="268" t="s">
        <v>35</v>
      </c>
      <c r="C55" s="269">
        <v>8555.23</v>
      </c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239">
        <f t="shared" si="13"/>
        <v>8555.23</v>
      </c>
      <c r="P55" s="239">
        <f t="shared" si="14"/>
        <v>8555.23</v>
      </c>
      <c r="Q55" s="240">
        <f t="shared" si="15"/>
        <v>8555.23</v>
      </c>
      <c r="R55" s="193"/>
    </row>
    <row r="56" spans="1:18" ht="15.95" customHeight="1" thickBot="1" x14ac:dyDescent="0.3">
      <c r="A56" s="194"/>
      <c r="B56" s="211" t="s">
        <v>44</v>
      </c>
      <c r="C56" s="73">
        <f>SUM(C46:C55)</f>
        <v>104863.21</v>
      </c>
      <c r="D56" s="73">
        <f t="shared" ref="D56:I56" si="16">SUM(D46:D55)</f>
        <v>70610.8</v>
      </c>
      <c r="E56" s="73">
        <f t="shared" si="16"/>
        <v>80281.73000000001</v>
      </c>
      <c r="F56" s="73">
        <f t="shared" si="16"/>
        <v>0</v>
      </c>
      <c r="G56" s="73">
        <f t="shared" si="16"/>
        <v>0</v>
      </c>
      <c r="H56" s="73">
        <f t="shared" si="16"/>
        <v>0</v>
      </c>
      <c r="I56" s="80">
        <f t="shared" si="16"/>
        <v>0</v>
      </c>
      <c r="J56" s="73">
        <f>SUM(J46:J55)</f>
        <v>0</v>
      </c>
      <c r="K56" s="73">
        <f t="shared" ref="K56:Q56" si="17">SUM(K46:K55)</f>
        <v>0</v>
      </c>
      <c r="L56" s="73">
        <f t="shared" si="17"/>
        <v>0</v>
      </c>
      <c r="M56" s="73">
        <f t="shared" si="17"/>
        <v>0</v>
      </c>
      <c r="N56" s="73">
        <f t="shared" si="17"/>
        <v>0</v>
      </c>
      <c r="O56" s="218">
        <f t="shared" si="17"/>
        <v>92148.181666666671</v>
      </c>
      <c r="P56" s="220">
        <f t="shared" si="17"/>
        <v>255755.74000000005</v>
      </c>
      <c r="Q56" s="249">
        <f t="shared" si="17"/>
        <v>106773.36000000002</v>
      </c>
      <c r="R56" s="193"/>
    </row>
    <row r="57" spans="1:18" ht="6" customHeight="1" thickBot="1" x14ac:dyDescent="0.3">
      <c r="A57" s="192"/>
      <c r="B57" s="89"/>
      <c r="C57" s="89"/>
      <c r="D57" s="89"/>
      <c r="E57" s="89"/>
      <c r="F57" s="89"/>
      <c r="G57" s="89"/>
      <c r="H57" s="89"/>
      <c r="I57" s="228"/>
      <c r="J57" s="89"/>
      <c r="K57" s="89"/>
      <c r="L57" s="89"/>
      <c r="M57" s="89"/>
      <c r="N57" s="89"/>
      <c r="O57" s="205"/>
      <c r="P57" s="221"/>
      <c r="Q57" s="205"/>
      <c r="R57" s="193"/>
    </row>
    <row r="58" spans="1:18" ht="15.95" customHeight="1" thickBot="1" x14ac:dyDescent="0.3">
      <c r="A58" s="192"/>
      <c r="B58" s="214" t="s">
        <v>5</v>
      </c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0"/>
      <c r="P58" s="90"/>
      <c r="Q58" s="92"/>
      <c r="R58" s="193"/>
    </row>
    <row r="59" spans="1:18" ht="15.95" customHeight="1" thickBot="1" x14ac:dyDescent="0.3">
      <c r="A59" s="192"/>
      <c r="B59" s="46" t="s">
        <v>37</v>
      </c>
      <c r="C59" s="47" t="s">
        <v>0</v>
      </c>
      <c r="D59" s="48" t="s">
        <v>14</v>
      </c>
      <c r="E59" s="46" t="s">
        <v>15</v>
      </c>
      <c r="F59" s="48" t="s">
        <v>16</v>
      </c>
      <c r="G59" s="48" t="s">
        <v>17</v>
      </c>
      <c r="H59" s="48" t="s">
        <v>18</v>
      </c>
      <c r="I59" s="48" t="s">
        <v>19</v>
      </c>
      <c r="J59" s="48" t="s">
        <v>20</v>
      </c>
      <c r="K59" s="48" t="s">
        <v>21</v>
      </c>
      <c r="L59" s="48" t="s">
        <v>22</v>
      </c>
      <c r="M59" s="48" t="s">
        <v>23</v>
      </c>
      <c r="N59" s="47" t="s">
        <v>24</v>
      </c>
      <c r="O59" s="49" t="s">
        <v>25</v>
      </c>
      <c r="P59" s="49" t="s">
        <v>26</v>
      </c>
      <c r="Q59" s="49" t="s">
        <v>27</v>
      </c>
      <c r="R59" s="193"/>
    </row>
    <row r="60" spans="1:18" ht="15.95" customHeight="1" thickBot="1" x14ac:dyDescent="0.3">
      <c r="A60" s="192"/>
      <c r="B60" s="23" t="s">
        <v>67</v>
      </c>
      <c r="C60" s="50">
        <v>42333.5</v>
      </c>
      <c r="D60" s="50">
        <v>34083.72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237">
        <f>AVERAGE(B60:N60)</f>
        <v>38208.61</v>
      </c>
      <c r="P60" s="237">
        <f>SUM(C60:N60)</f>
        <v>76417.22</v>
      </c>
      <c r="Q60" s="238">
        <f>MAX(C60:N60)</f>
        <v>42333.5</v>
      </c>
      <c r="R60" s="193"/>
    </row>
    <row r="61" spans="1:18" ht="15" customHeight="1" thickBot="1" x14ac:dyDescent="0.3">
      <c r="A61" s="192"/>
      <c r="B61" s="31" t="s">
        <v>68</v>
      </c>
      <c r="C61" s="50">
        <v>24332.880000000001</v>
      </c>
      <c r="D61" s="50">
        <v>22464.57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237">
        <f t="shared" ref="O61:O69" si="18">AVERAGE(B61:N61)</f>
        <v>23398.724999999999</v>
      </c>
      <c r="P61" s="237">
        <f t="shared" ref="P61:P69" si="19">SUM(C61:N61)</f>
        <v>46797.45</v>
      </c>
      <c r="Q61" s="238">
        <f t="shared" ref="Q61:Q69" si="20">MAX(C61:N61)</f>
        <v>24332.880000000001</v>
      </c>
      <c r="R61" s="256"/>
    </row>
    <row r="62" spans="1:18" ht="15.75" thickBot="1" x14ac:dyDescent="0.3">
      <c r="A62" s="192"/>
      <c r="B62" s="31" t="s">
        <v>69</v>
      </c>
      <c r="C62" s="50">
        <v>0</v>
      </c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237">
        <f t="shared" si="18"/>
        <v>0</v>
      </c>
      <c r="P62" s="237">
        <f t="shared" si="19"/>
        <v>0</v>
      </c>
      <c r="Q62" s="238">
        <f t="shared" si="20"/>
        <v>0</v>
      </c>
      <c r="R62" s="256"/>
    </row>
    <row r="63" spans="1:18" ht="15.95" customHeight="1" thickBot="1" x14ac:dyDescent="0.3">
      <c r="A63" s="194"/>
      <c r="B63" s="31" t="s">
        <v>70</v>
      </c>
      <c r="C63" s="50">
        <v>0</v>
      </c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237">
        <f t="shared" si="18"/>
        <v>0</v>
      </c>
      <c r="P63" s="237">
        <f t="shared" si="19"/>
        <v>0</v>
      </c>
      <c r="Q63" s="238">
        <f t="shared" si="20"/>
        <v>0</v>
      </c>
      <c r="R63" s="256"/>
    </row>
    <row r="64" spans="1:18" ht="15.95" customHeight="1" thickBot="1" x14ac:dyDescent="0.3">
      <c r="A64" s="192"/>
      <c r="B64" s="31" t="s">
        <v>31</v>
      </c>
      <c r="C64" s="50">
        <v>0</v>
      </c>
      <c r="D64" s="50">
        <v>1174.67</v>
      </c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237">
        <f t="shared" si="18"/>
        <v>587.33500000000004</v>
      </c>
      <c r="P64" s="237">
        <f t="shared" si="19"/>
        <v>1174.67</v>
      </c>
      <c r="Q64" s="238">
        <f t="shared" si="20"/>
        <v>1174.67</v>
      </c>
      <c r="R64" s="256"/>
    </row>
    <row r="65" spans="1:18" ht="15.95" customHeight="1" thickBot="1" x14ac:dyDescent="0.3">
      <c r="A65" s="192"/>
      <c r="B65" s="31" t="s">
        <v>32</v>
      </c>
      <c r="C65" s="50">
        <v>0</v>
      </c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237">
        <f t="shared" si="18"/>
        <v>0</v>
      </c>
      <c r="P65" s="237">
        <f t="shared" si="19"/>
        <v>0</v>
      </c>
      <c r="Q65" s="238">
        <f t="shared" si="20"/>
        <v>0</v>
      </c>
      <c r="R65" s="256"/>
    </row>
    <row r="66" spans="1:18" ht="15.95" customHeight="1" thickBot="1" x14ac:dyDescent="0.3">
      <c r="A66" s="192"/>
      <c r="B66" s="31" t="s">
        <v>33</v>
      </c>
      <c r="C66" s="50">
        <v>0</v>
      </c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237">
        <f t="shared" si="18"/>
        <v>0</v>
      </c>
      <c r="P66" s="237">
        <f t="shared" si="19"/>
        <v>0</v>
      </c>
      <c r="Q66" s="238">
        <f t="shared" si="20"/>
        <v>0</v>
      </c>
      <c r="R66" s="256"/>
    </row>
    <row r="67" spans="1:18" ht="15.95" customHeight="1" thickBot="1" x14ac:dyDescent="0.3">
      <c r="A67" s="192"/>
      <c r="B67" s="31" t="s">
        <v>71</v>
      </c>
      <c r="C67" s="50">
        <v>2097.2800000000002</v>
      </c>
      <c r="D67" s="50">
        <v>1516.12</v>
      </c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237">
        <f t="shared" si="18"/>
        <v>1806.7</v>
      </c>
      <c r="P67" s="237">
        <f t="shared" si="19"/>
        <v>3613.4</v>
      </c>
      <c r="Q67" s="238">
        <f t="shared" si="20"/>
        <v>2097.2800000000002</v>
      </c>
      <c r="R67" s="256"/>
    </row>
    <row r="68" spans="1:18" ht="15.95" customHeight="1" thickBot="1" x14ac:dyDescent="0.3">
      <c r="A68" s="192"/>
      <c r="B68" s="36" t="s">
        <v>72</v>
      </c>
      <c r="C68" s="50">
        <v>0</v>
      </c>
      <c r="D68" s="50">
        <v>880.34</v>
      </c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237">
        <f t="shared" si="18"/>
        <v>440.17</v>
      </c>
      <c r="P68" s="237">
        <f t="shared" si="19"/>
        <v>880.34</v>
      </c>
      <c r="Q68" s="238">
        <f t="shared" si="20"/>
        <v>880.34</v>
      </c>
      <c r="R68" s="256"/>
    </row>
    <row r="69" spans="1:18" ht="15.95" customHeight="1" thickBot="1" x14ac:dyDescent="0.3">
      <c r="A69" s="192"/>
      <c r="B69" s="37" t="s">
        <v>35</v>
      </c>
      <c r="C69" s="50">
        <v>0</v>
      </c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239">
        <f t="shared" si="18"/>
        <v>0</v>
      </c>
      <c r="P69" s="239">
        <f t="shared" si="19"/>
        <v>0</v>
      </c>
      <c r="Q69" s="240">
        <f t="shared" si="20"/>
        <v>0</v>
      </c>
      <c r="R69" s="256"/>
    </row>
    <row r="70" spans="1:18" ht="15.95" customHeight="1" thickBot="1" x14ac:dyDescent="0.3">
      <c r="A70" s="192"/>
      <c r="B70" s="215" t="s">
        <v>44</v>
      </c>
      <c r="C70" s="262">
        <f t="shared" ref="C70:I70" si="21">SUM(C60:C69)</f>
        <v>68763.66</v>
      </c>
      <c r="D70" s="80">
        <f t="shared" si="21"/>
        <v>60119.42</v>
      </c>
      <c r="E70" s="73">
        <f t="shared" si="21"/>
        <v>0</v>
      </c>
      <c r="F70" s="73">
        <f t="shared" si="21"/>
        <v>0</v>
      </c>
      <c r="G70" s="73">
        <f t="shared" si="21"/>
        <v>0</v>
      </c>
      <c r="H70" s="73">
        <f t="shared" si="21"/>
        <v>0</v>
      </c>
      <c r="I70" s="80">
        <f t="shared" si="21"/>
        <v>0</v>
      </c>
      <c r="J70" s="73">
        <f>SUM(J60:J69)</f>
        <v>0</v>
      </c>
      <c r="K70" s="73">
        <f t="shared" ref="K70:Q70" si="22">SUM(K60:K69)</f>
        <v>0</v>
      </c>
      <c r="L70" s="73">
        <f t="shared" si="22"/>
        <v>0</v>
      </c>
      <c r="M70" s="73">
        <f t="shared" si="22"/>
        <v>0</v>
      </c>
      <c r="N70" s="73">
        <f t="shared" si="22"/>
        <v>0</v>
      </c>
      <c r="O70" s="218">
        <f t="shared" si="22"/>
        <v>64441.539999999994</v>
      </c>
      <c r="P70" s="220">
        <f t="shared" si="22"/>
        <v>128883.07999999999</v>
      </c>
      <c r="Q70" s="249">
        <f t="shared" si="22"/>
        <v>70818.67</v>
      </c>
      <c r="R70" s="256"/>
    </row>
    <row r="71" spans="1:18" ht="6" customHeight="1" thickBot="1" x14ac:dyDescent="0.3">
      <c r="A71" s="192"/>
      <c r="B71" s="253"/>
      <c r="C71" s="253"/>
      <c r="D71" s="253"/>
      <c r="E71" s="253"/>
      <c r="F71" s="253"/>
      <c r="G71" s="253"/>
      <c r="H71" s="253"/>
      <c r="I71" s="253"/>
      <c r="J71" s="253"/>
      <c r="K71" s="253"/>
      <c r="L71" s="253"/>
      <c r="M71" s="253"/>
      <c r="N71" s="253"/>
      <c r="O71" s="254"/>
      <c r="P71" s="254"/>
      <c r="Q71" s="254"/>
      <c r="R71" s="256"/>
    </row>
    <row r="72" spans="1:18" ht="15.95" customHeight="1" thickBot="1" x14ac:dyDescent="0.3">
      <c r="A72" s="192"/>
      <c r="B72" s="214" t="s">
        <v>6</v>
      </c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0"/>
      <c r="P72" s="90"/>
      <c r="Q72" s="92"/>
      <c r="R72" s="256"/>
    </row>
    <row r="73" spans="1:18" ht="15.95" customHeight="1" thickBot="1" x14ac:dyDescent="0.3">
      <c r="A73" s="192"/>
      <c r="B73" s="48" t="s">
        <v>36</v>
      </c>
      <c r="C73" s="93" t="s">
        <v>0</v>
      </c>
      <c r="D73" s="94" t="s">
        <v>14</v>
      </c>
      <c r="E73" s="95" t="s">
        <v>15</v>
      </c>
      <c r="F73" s="94" t="s">
        <v>16</v>
      </c>
      <c r="G73" s="94" t="s">
        <v>17</v>
      </c>
      <c r="H73" s="94" t="s">
        <v>18</v>
      </c>
      <c r="I73" s="95" t="s">
        <v>19</v>
      </c>
      <c r="J73" s="94" t="s">
        <v>20</v>
      </c>
      <c r="K73" s="94" t="s">
        <v>21</v>
      </c>
      <c r="L73" s="94" t="s">
        <v>22</v>
      </c>
      <c r="M73" s="94" t="s">
        <v>23</v>
      </c>
      <c r="N73" s="93" t="s">
        <v>24</v>
      </c>
      <c r="O73" s="96" t="s">
        <v>25</v>
      </c>
      <c r="P73" s="96" t="s">
        <v>26</v>
      </c>
      <c r="Q73" s="96" t="s">
        <v>27</v>
      </c>
      <c r="R73" s="256"/>
    </row>
    <row r="74" spans="1:18" ht="15.95" customHeight="1" thickBot="1" x14ac:dyDescent="0.3">
      <c r="A74" s="260"/>
      <c r="B74" s="97" t="s">
        <v>35</v>
      </c>
      <c r="C74" s="50">
        <v>4411.8</v>
      </c>
      <c r="D74" s="50">
        <v>39339.360000000001</v>
      </c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239">
        <f>AVERAGE(C74:N74)</f>
        <v>21875.58</v>
      </c>
      <c r="P74" s="239">
        <f>SUM(C74:N74)</f>
        <v>43751.16</v>
      </c>
      <c r="Q74" s="240">
        <f>MAX(C74:N74)</f>
        <v>39339.360000000001</v>
      </c>
      <c r="R74" s="256"/>
    </row>
    <row r="75" spans="1:18" ht="6" customHeight="1" thickBot="1" x14ac:dyDescent="0.3">
      <c r="A75" s="261"/>
      <c r="B75" s="257"/>
      <c r="C75" s="229"/>
      <c r="D75" s="257"/>
      <c r="E75" s="257"/>
      <c r="F75" s="257"/>
      <c r="G75" s="257"/>
      <c r="H75" s="257"/>
      <c r="I75" s="257"/>
      <c r="J75" s="257"/>
      <c r="K75" s="257"/>
      <c r="L75" s="257"/>
      <c r="M75" s="257"/>
      <c r="N75" s="257"/>
      <c r="O75" s="258"/>
      <c r="P75" s="258"/>
      <c r="Q75" s="258"/>
      <c r="R75" s="259"/>
    </row>
    <row r="76" spans="1:18" ht="15.75" thickTop="1" x14ac:dyDescent="0.25">
      <c r="A76" s="255"/>
      <c r="B76" s="233"/>
      <c r="C76" s="233"/>
      <c r="D76" s="233"/>
    </row>
  </sheetData>
  <printOptions horizontalCentered="1"/>
  <pageMargins left="0" right="0" top="0" bottom="0" header="0" footer="2.1653543307086616"/>
  <pageSetup paperSize="9" scale="53" orientation="landscape" horizontalDpi="0" verticalDpi="0" r:id="rId1"/>
  <headerFooter>
    <oddHeader>&amp;C&amp;A</oddHeader>
    <oddFooter>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>
    <pageSetUpPr fitToPage="1"/>
  </sheetPr>
  <dimension ref="A1:AE77"/>
  <sheetViews>
    <sheetView tabSelected="1" zoomScale="87" zoomScaleNormal="87" workbookViewId="0">
      <selection activeCell="C36" sqref="C36"/>
    </sheetView>
  </sheetViews>
  <sheetFormatPr defaultRowHeight="15" x14ac:dyDescent="0.25"/>
  <cols>
    <col min="1" max="1" width="0.85546875" style="186" customWidth="1"/>
    <col min="2" max="2" width="31.28515625" style="198" customWidth="1"/>
    <col min="3" max="14" width="12.7109375" style="198" customWidth="1"/>
    <col min="15" max="17" width="12.7109375" style="206" customWidth="1"/>
    <col min="18" max="18" width="2.85546875" style="186" customWidth="1"/>
    <col min="19" max="19" width="9.140625" customWidth="1"/>
    <col min="20" max="20" width="35.42578125" customWidth="1"/>
    <col min="21" max="21" width="16.7109375" customWidth="1"/>
    <col min="22" max="31" width="23.42578125" customWidth="1"/>
  </cols>
  <sheetData>
    <row r="1" spans="1:26" s="1" customFormat="1" ht="6" customHeight="1" thickTop="1" thickBot="1" x14ac:dyDescent="0.3">
      <c r="A1" s="190"/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2"/>
      <c r="P1" s="202"/>
      <c r="Q1" s="202"/>
      <c r="R1" s="191"/>
      <c r="T1"/>
      <c r="U1"/>
    </row>
    <row r="2" spans="1:26" ht="15.95" customHeight="1" thickBot="1" x14ac:dyDescent="0.3">
      <c r="A2" s="192"/>
      <c r="B2" s="208" t="s">
        <v>2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17"/>
      <c r="P2" s="217"/>
      <c r="Q2" s="236"/>
      <c r="R2" s="193"/>
      <c r="T2" s="1"/>
      <c r="U2" s="1"/>
      <c r="V2" s="1"/>
      <c r="W2" s="1"/>
    </row>
    <row r="3" spans="1:26" ht="15.95" customHeight="1" thickBot="1" x14ac:dyDescent="0.3">
      <c r="A3" s="192"/>
      <c r="B3" s="17" t="s">
        <v>37</v>
      </c>
      <c r="C3" s="18" t="s">
        <v>0</v>
      </c>
      <c r="D3" s="17" t="s">
        <v>14</v>
      </c>
      <c r="E3" s="19" t="s">
        <v>15</v>
      </c>
      <c r="F3" s="17" t="s">
        <v>16</v>
      </c>
      <c r="G3" s="17" t="s">
        <v>17</v>
      </c>
      <c r="H3" s="17" t="s">
        <v>18</v>
      </c>
      <c r="I3" s="17" t="s">
        <v>19</v>
      </c>
      <c r="J3" s="17" t="s">
        <v>20</v>
      </c>
      <c r="K3" s="17" t="s">
        <v>21</v>
      </c>
      <c r="L3" s="17" t="s">
        <v>22</v>
      </c>
      <c r="M3" s="17" t="s">
        <v>23</v>
      </c>
      <c r="N3" s="20" t="s">
        <v>24</v>
      </c>
      <c r="O3" s="21" t="s">
        <v>25</v>
      </c>
      <c r="P3" s="22" t="s">
        <v>26</v>
      </c>
      <c r="Q3" s="22" t="s">
        <v>27</v>
      </c>
      <c r="R3" s="193"/>
      <c r="T3" s="1"/>
      <c r="U3" s="1"/>
      <c r="V3" s="1"/>
      <c r="W3" s="1"/>
    </row>
    <row r="4" spans="1:26" ht="15.95" customHeight="1" thickBot="1" x14ac:dyDescent="0.3">
      <c r="A4" s="192"/>
      <c r="B4" s="23" t="s">
        <v>67</v>
      </c>
      <c r="C4" s="24">
        <v>86887.45</v>
      </c>
      <c r="D4" s="25">
        <v>81097.34</v>
      </c>
      <c r="E4" s="26">
        <v>94072.39</v>
      </c>
      <c r="F4" s="27">
        <v>105697.93</v>
      </c>
      <c r="G4" s="28">
        <v>99379.57</v>
      </c>
      <c r="H4" s="28">
        <v>81086.66</v>
      </c>
      <c r="I4" s="27">
        <v>79337.98</v>
      </c>
      <c r="J4" s="27">
        <v>91618.43</v>
      </c>
      <c r="K4" s="27">
        <v>128471.06</v>
      </c>
      <c r="L4" s="29">
        <v>59186.45</v>
      </c>
      <c r="M4" s="27">
        <v>93370.7</v>
      </c>
      <c r="N4" s="30">
        <v>84058.05</v>
      </c>
      <c r="O4" s="237">
        <f>AVERAGE(C4:N4)</f>
        <v>90355.334166666667</v>
      </c>
      <c r="P4" s="237">
        <f>SUM(C4:N4)</f>
        <v>1084264.01</v>
      </c>
      <c r="Q4" s="238">
        <f>MAX(C4:N4)</f>
        <v>128471.06</v>
      </c>
      <c r="R4" s="193"/>
      <c r="T4" s="1"/>
      <c r="U4" s="1"/>
      <c r="V4" s="1"/>
      <c r="W4" s="1"/>
    </row>
    <row r="5" spans="1:26" ht="15.95" customHeight="1" thickBot="1" x14ac:dyDescent="0.3">
      <c r="A5" s="192"/>
      <c r="B5" s="31" t="s">
        <v>68</v>
      </c>
      <c r="C5" s="25">
        <v>1787.92</v>
      </c>
      <c r="D5" s="25">
        <v>2818.79</v>
      </c>
      <c r="E5" s="26">
        <v>1593.07</v>
      </c>
      <c r="F5" s="32">
        <v>1103.99</v>
      </c>
      <c r="G5" s="32">
        <v>1077.94</v>
      </c>
      <c r="H5" s="32">
        <v>1731.59</v>
      </c>
      <c r="I5" s="32">
        <v>1579.71</v>
      </c>
      <c r="J5" s="32">
        <v>2021</v>
      </c>
      <c r="K5" s="32">
        <v>3546.29</v>
      </c>
      <c r="L5" s="33">
        <v>1348.12</v>
      </c>
      <c r="M5" s="32">
        <v>1555.76</v>
      </c>
      <c r="N5" s="34">
        <v>1658.92</v>
      </c>
      <c r="O5" s="237">
        <f t="shared" ref="O5:O13" si="0">AVERAGE(C5:N5)</f>
        <v>1818.5916666666665</v>
      </c>
      <c r="P5" s="237">
        <f t="shared" ref="P5:P13" si="1">SUM(C5:N5)</f>
        <v>21823.1</v>
      </c>
      <c r="Q5" s="238">
        <f t="shared" ref="Q5:Q13" si="2">MAX(C5:N5)</f>
        <v>3546.29</v>
      </c>
      <c r="R5" s="193"/>
      <c r="T5" s="1"/>
      <c r="U5" s="1"/>
      <c r="V5" s="1"/>
      <c r="W5" s="1"/>
    </row>
    <row r="6" spans="1:26" ht="15.95" customHeight="1" thickBot="1" x14ac:dyDescent="0.3">
      <c r="A6" s="192"/>
      <c r="B6" s="31" t="s">
        <v>69</v>
      </c>
      <c r="C6" s="25">
        <v>5588.35</v>
      </c>
      <c r="D6" s="25">
        <v>2700.45</v>
      </c>
      <c r="E6" s="26">
        <v>2881.73</v>
      </c>
      <c r="F6" s="32">
        <v>3471.55</v>
      </c>
      <c r="G6" s="32">
        <v>2664.3</v>
      </c>
      <c r="H6" s="32" t="s">
        <v>38</v>
      </c>
      <c r="I6" s="32">
        <v>1471.55</v>
      </c>
      <c r="J6" s="32">
        <v>3328.46</v>
      </c>
      <c r="K6" s="32">
        <v>3209.4</v>
      </c>
      <c r="L6" s="33">
        <v>2005.47</v>
      </c>
      <c r="M6" s="32">
        <v>1527.72</v>
      </c>
      <c r="N6" s="34">
        <v>2687.63</v>
      </c>
      <c r="O6" s="237">
        <f t="shared" si="0"/>
        <v>2866.9645454545457</v>
      </c>
      <c r="P6" s="237">
        <f t="shared" si="1"/>
        <v>31536.61</v>
      </c>
      <c r="Q6" s="238">
        <f t="shared" si="2"/>
        <v>5588.35</v>
      </c>
      <c r="R6" s="193"/>
      <c r="T6" s="1"/>
      <c r="U6" s="1"/>
      <c r="V6" s="1"/>
      <c r="W6" s="1"/>
    </row>
    <row r="7" spans="1:26" ht="15.95" customHeight="1" thickBot="1" x14ac:dyDescent="0.3">
      <c r="A7" s="192"/>
      <c r="B7" s="31" t="s">
        <v>70</v>
      </c>
      <c r="C7" s="25">
        <v>4983.2700000000004</v>
      </c>
      <c r="D7" s="25">
        <v>1962.09</v>
      </c>
      <c r="E7" s="26">
        <v>4494.21</v>
      </c>
      <c r="F7" s="32">
        <v>3413.53</v>
      </c>
      <c r="G7" s="32">
        <v>2670.83</v>
      </c>
      <c r="H7" s="32">
        <v>3319.29</v>
      </c>
      <c r="I7" s="32">
        <v>3353.54</v>
      </c>
      <c r="J7" s="32">
        <v>8461.02</v>
      </c>
      <c r="K7" s="32">
        <v>5117.4399999999996</v>
      </c>
      <c r="L7" s="33">
        <v>2903.99</v>
      </c>
      <c r="M7" s="35">
        <v>1498.08</v>
      </c>
      <c r="N7" s="34">
        <v>2541.39</v>
      </c>
      <c r="O7" s="237">
        <f t="shared" si="0"/>
        <v>3726.5566666666668</v>
      </c>
      <c r="P7" s="237">
        <f t="shared" si="1"/>
        <v>44718.68</v>
      </c>
      <c r="Q7" s="238">
        <f t="shared" si="2"/>
        <v>8461.02</v>
      </c>
      <c r="R7" s="193"/>
      <c r="T7" s="1"/>
      <c r="U7" s="1"/>
      <c r="V7" s="1"/>
      <c r="W7" s="1"/>
    </row>
    <row r="8" spans="1:26" ht="15.95" customHeight="1" thickBot="1" x14ac:dyDescent="0.3">
      <c r="A8" s="192"/>
      <c r="B8" s="31" t="s">
        <v>31</v>
      </c>
      <c r="C8" s="25">
        <v>4776.47</v>
      </c>
      <c r="D8" s="25">
        <v>1445.51</v>
      </c>
      <c r="E8" s="26">
        <v>1240.2</v>
      </c>
      <c r="F8" s="32">
        <v>1238.3900000000001</v>
      </c>
      <c r="G8" s="32">
        <v>1238.3900000000001</v>
      </c>
      <c r="H8" s="32">
        <v>3315.79</v>
      </c>
      <c r="I8" s="32">
        <v>1219.79</v>
      </c>
      <c r="J8" s="32">
        <v>498.59</v>
      </c>
      <c r="K8" s="32"/>
      <c r="L8" s="33">
        <v>1122.7</v>
      </c>
      <c r="M8" s="32">
        <v>8214.14</v>
      </c>
      <c r="N8" s="34">
        <v>1410.04</v>
      </c>
      <c r="O8" s="237">
        <f t="shared" si="0"/>
        <v>2338.1827272727273</v>
      </c>
      <c r="P8" s="237">
        <f t="shared" si="1"/>
        <v>25720.010000000002</v>
      </c>
      <c r="Q8" s="238">
        <f t="shared" si="2"/>
        <v>8214.14</v>
      </c>
      <c r="R8" s="193"/>
      <c r="T8" s="1"/>
      <c r="U8" s="1"/>
      <c r="V8" s="1"/>
      <c r="W8" s="1"/>
    </row>
    <row r="9" spans="1:26" s="1" customFormat="1" ht="15.95" customHeight="1" thickBot="1" x14ac:dyDescent="0.3">
      <c r="A9" s="192"/>
      <c r="B9" s="31" t="s">
        <v>32</v>
      </c>
      <c r="C9" s="25">
        <v>6989.85</v>
      </c>
      <c r="D9" s="25">
        <v>2829.04</v>
      </c>
      <c r="E9" s="26">
        <v>7184.06</v>
      </c>
      <c r="F9" s="32">
        <v>1711.23</v>
      </c>
      <c r="G9" s="32">
        <v>4405.37</v>
      </c>
      <c r="H9" s="32">
        <v>4222.8599999999997</v>
      </c>
      <c r="I9" s="32">
        <v>5304.07</v>
      </c>
      <c r="J9" s="32">
        <v>2232.41</v>
      </c>
      <c r="K9" s="32">
        <v>3197.79</v>
      </c>
      <c r="L9" s="33">
        <v>2547.8000000000002</v>
      </c>
      <c r="M9" s="32">
        <v>1280.8</v>
      </c>
      <c r="N9" s="34">
        <v>6797.25</v>
      </c>
      <c r="O9" s="237">
        <f t="shared" si="0"/>
        <v>4058.544166666667</v>
      </c>
      <c r="P9" s="237">
        <f t="shared" si="1"/>
        <v>48702.530000000006</v>
      </c>
      <c r="Q9" s="238">
        <f t="shared" si="2"/>
        <v>7184.06</v>
      </c>
      <c r="R9" s="193"/>
      <c r="X9"/>
      <c r="Y9"/>
      <c r="Z9"/>
    </row>
    <row r="10" spans="1:26" ht="15.95" customHeight="1" thickBot="1" x14ac:dyDescent="0.3">
      <c r="A10" s="192"/>
      <c r="B10" s="31" t="s">
        <v>33</v>
      </c>
      <c r="C10" s="25">
        <v>37.82</v>
      </c>
      <c r="D10" s="25">
        <v>30.17</v>
      </c>
      <c r="E10" s="26">
        <v>43.46</v>
      </c>
      <c r="F10" s="32">
        <v>13.92</v>
      </c>
      <c r="G10" s="32"/>
      <c r="H10" s="32">
        <v>91.64</v>
      </c>
      <c r="I10" s="32">
        <v>30.92</v>
      </c>
      <c r="J10" s="32">
        <v>96.4</v>
      </c>
      <c r="K10" s="32"/>
      <c r="L10" s="33"/>
      <c r="M10" s="32"/>
      <c r="N10" s="34"/>
      <c r="O10" s="237">
        <f t="shared" si="0"/>
        <v>49.190000000000005</v>
      </c>
      <c r="P10" s="237">
        <f t="shared" si="1"/>
        <v>344.33000000000004</v>
      </c>
      <c r="Q10" s="238">
        <f t="shared" si="2"/>
        <v>96.4</v>
      </c>
      <c r="R10" s="193"/>
      <c r="T10" s="1"/>
      <c r="U10" s="1"/>
      <c r="V10" s="1"/>
      <c r="W10" s="1"/>
    </row>
    <row r="11" spans="1:26" s="1" customFormat="1" ht="15.95" customHeight="1" thickBot="1" x14ac:dyDescent="0.3">
      <c r="A11" s="192"/>
      <c r="B11" s="31" t="s">
        <v>71</v>
      </c>
      <c r="C11" s="25">
        <v>9422.59</v>
      </c>
      <c r="D11" s="25">
        <v>1864.39</v>
      </c>
      <c r="E11" s="26">
        <v>4815.9399999999996</v>
      </c>
      <c r="F11" s="32">
        <v>2284.42</v>
      </c>
      <c r="G11" s="32"/>
      <c r="H11" s="32">
        <v>1535.29</v>
      </c>
      <c r="I11" s="32">
        <v>2608.46</v>
      </c>
      <c r="J11" s="32">
        <v>1720.55</v>
      </c>
      <c r="K11" s="32">
        <v>3109.16</v>
      </c>
      <c r="L11" s="33">
        <v>3113.15</v>
      </c>
      <c r="M11" s="32">
        <v>1778.44</v>
      </c>
      <c r="N11" s="34">
        <v>2452.9699999999998</v>
      </c>
      <c r="O11" s="237">
        <f t="shared" si="0"/>
        <v>3155.0327272727268</v>
      </c>
      <c r="P11" s="237">
        <f t="shared" si="1"/>
        <v>34705.359999999993</v>
      </c>
      <c r="Q11" s="238">
        <f t="shared" si="2"/>
        <v>9422.59</v>
      </c>
      <c r="R11" s="193"/>
      <c r="X11"/>
      <c r="Y11"/>
      <c r="Z11"/>
    </row>
    <row r="12" spans="1:26" ht="15.95" customHeight="1" thickBot="1" x14ac:dyDescent="0.3">
      <c r="A12" s="192"/>
      <c r="B12" s="36" t="s">
        <v>72</v>
      </c>
      <c r="C12" s="25">
        <v>10685.63</v>
      </c>
      <c r="D12" s="25">
        <v>7432.13</v>
      </c>
      <c r="E12" s="26">
        <v>1666.43</v>
      </c>
      <c r="F12" s="32">
        <v>1319.73</v>
      </c>
      <c r="G12" s="32"/>
      <c r="H12" s="32">
        <v>6054.82</v>
      </c>
      <c r="I12" s="32">
        <v>8405.2999999999993</v>
      </c>
      <c r="J12" s="32">
        <v>19127.68</v>
      </c>
      <c r="K12" s="32">
        <v>13685.2</v>
      </c>
      <c r="L12" s="33">
        <v>12057.66</v>
      </c>
      <c r="M12" s="32">
        <v>7670.26</v>
      </c>
      <c r="N12" s="34">
        <v>10753.47</v>
      </c>
      <c r="O12" s="237">
        <f t="shared" si="0"/>
        <v>8987.119090909091</v>
      </c>
      <c r="P12" s="237">
        <f t="shared" si="1"/>
        <v>98858.31</v>
      </c>
      <c r="Q12" s="238">
        <f t="shared" si="2"/>
        <v>19127.68</v>
      </c>
      <c r="R12" s="193"/>
      <c r="T12" s="1"/>
      <c r="U12" s="1"/>
      <c r="V12" s="1"/>
      <c r="W12" s="1"/>
    </row>
    <row r="13" spans="1:26" ht="15.95" customHeight="1" thickBot="1" x14ac:dyDescent="0.3">
      <c r="A13" s="192"/>
      <c r="B13" s="37" t="s">
        <v>35</v>
      </c>
      <c r="C13" s="38">
        <v>51523.76</v>
      </c>
      <c r="D13" s="38">
        <v>33000.879999999997</v>
      </c>
      <c r="E13" s="39">
        <v>32959.85</v>
      </c>
      <c r="F13" s="40">
        <v>64782.13</v>
      </c>
      <c r="G13" s="40">
        <v>117598.31</v>
      </c>
      <c r="H13" s="40">
        <v>61180.1</v>
      </c>
      <c r="I13" s="41">
        <v>48093.89</v>
      </c>
      <c r="J13" s="40">
        <v>114685.22</v>
      </c>
      <c r="K13" s="40">
        <v>61354.32</v>
      </c>
      <c r="L13" s="41">
        <v>36698.870000000003</v>
      </c>
      <c r="M13" s="40">
        <v>52936.22</v>
      </c>
      <c r="N13" s="42">
        <v>57656.46</v>
      </c>
      <c r="O13" s="239">
        <f t="shared" si="0"/>
        <v>61039.167499999989</v>
      </c>
      <c r="P13" s="239">
        <f t="shared" si="1"/>
        <v>732470.00999999989</v>
      </c>
      <c r="Q13" s="240">
        <f t="shared" si="2"/>
        <v>117598.31</v>
      </c>
      <c r="R13" s="193"/>
      <c r="T13" s="1"/>
      <c r="U13" s="1"/>
      <c r="V13" s="1"/>
      <c r="W13" s="1"/>
    </row>
    <row r="14" spans="1:26" ht="15.95" customHeight="1" thickBot="1" x14ac:dyDescent="0.3">
      <c r="A14" s="194"/>
      <c r="B14" s="209" t="s">
        <v>44</v>
      </c>
      <c r="C14" s="43">
        <f t="shared" ref="C14:Q14" si="3">SUM(C4:C13)</f>
        <v>182683.11000000002</v>
      </c>
      <c r="D14" s="43">
        <f t="shared" si="3"/>
        <v>135180.78999999998</v>
      </c>
      <c r="E14" s="44">
        <f t="shared" si="3"/>
        <v>150951.34</v>
      </c>
      <c r="F14" s="45">
        <f t="shared" si="3"/>
        <v>185036.81999999998</v>
      </c>
      <c r="G14" s="43">
        <f t="shared" si="3"/>
        <v>229034.71000000002</v>
      </c>
      <c r="H14" s="44">
        <f t="shared" si="3"/>
        <v>162538.03999999998</v>
      </c>
      <c r="I14" s="45">
        <f t="shared" si="3"/>
        <v>151405.21</v>
      </c>
      <c r="J14" s="43">
        <f t="shared" si="3"/>
        <v>243789.76</v>
      </c>
      <c r="K14" s="43">
        <f t="shared" si="3"/>
        <v>221690.66000000003</v>
      </c>
      <c r="L14" s="43">
        <f t="shared" si="3"/>
        <v>120984.20999999999</v>
      </c>
      <c r="M14" s="43">
        <f t="shared" si="3"/>
        <v>169832.12</v>
      </c>
      <c r="N14" s="43">
        <f t="shared" si="3"/>
        <v>170016.18</v>
      </c>
      <c r="O14" s="234">
        <f t="shared" si="3"/>
        <v>178394.68325757576</v>
      </c>
      <c r="P14" s="234">
        <f t="shared" si="3"/>
        <v>2123142.9500000002</v>
      </c>
      <c r="Q14" s="235">
        <f t="shared" si="3"/>
        <v>307709.89999999997</v>
      </c>
      <c r="R14" s="193"/>
      <c r="T14" s="1"/>
      <c r="U14" s="1"/>
      <c r="V14" s="1"/>
      <c r="W14" s="1"/>
    </row>
    <row r="15" spans="1:26" s="1" customFormat="1" ht="6" customHeight="1" thickBot="1" x14ac:dyDescent="0.3">
      <c r="A15" s="192"/>
      <c r="B15" s="250"/>
      <c r="C15" s="251"/>
      <c r="D15" s="251"/>
      <c r="E15" s="251"/>
      <c r="F15" s="251"/>
      <c r="G15" s="251"/>
      <c r="H15" s="251"/>
      <c r="I15" s="251"/>
      <c r="J15" s="251"/>
      <c r="K15" s="251"/>
      <c r="L15" s="251"/>
      <c r="M15" s="251"/>
      <c r="N15" s="251"/>
      <c r="O15" s="252"/>
      <c r="P15" s="252"/>
      <c r="Q15" s="252"/>
      <c r="R15" s="193"/>
    </row>
    <row r="16" spans="1:26" ht="15.95" customHeight="1" thickBot="1" x14ac:dyDescent="0.3">
      <c r="A16" s="194"/>
      <c r="B16" s="210" t="s">
        <v>3</v>
      </c>
      <c r="C16" s="210"/>
      <c r="D16" s="210"/>
      <c r="E16" s="210"/>
      <c r="F16" s="210"/>
      <c r="G16" s="210"/>
      <c r="H16" s="210"/>
      <c r="I16" s="210"/>
      <c r="J16" s="210"/>
      <c r="K16" s="210"/>
      <c r="L16" s="210"/>
      <c r="M16" s="210"/>
      <c r="N16" s="210"/>
      <c r="O16" s="203"/>
      <c r="P16" s="203"/>
      <c r="Q16" s="241"/>
      <c r="R16" s="193"/>
    </row>
    <row r="17" spans="1:26" ht="15.95" customHeight="1" thickBot="1" x14ac:dyDescent="0.3">
      <c r="A17" s="194"/>
      <c r="B17" s="46" t="s">
        <v>37</v>
      </c>
      <c r="C17" s="47" t="s">
        <v>0</v>
      </c>
      <c r="D17" s="48" t="s">
        <v>14</v>
      </c>
      <c r="E17" s="46" t="s">
        <v>15</v>
      </c>
      <c r="F17" s="48" t="s">
        <v>16</v>
      </c>
      <c r="G17" s="48" t="s">
        <v>17</v>
      </c>
      <c r="H17" s="48" t="s">
        <v>18</v>
      </c>
      <c r="I17" s="48" t="s">
        <v>19</v>
      </c>
      <c r="J17" s="48" t="s">
        <v>20</v>
      </c>
      <c r="K17" s="48" t="s">
        <v>21</v>
      </c>
      <c r="L17" s="48" t="s">
        <v>22</v>
      </c>
      <c r="M17" s="48" t="s">
        <v>23</v>
      </c>
      <c r="N17" s="47" t="s">
        <v>24</v>
      </c>
      <c r="O17" s="49" t="s">
        <v>25</v>
      </c>
      <c r="P17" s="49" t="s">
        <v>26</v>
      </c>
      <c r="Q17" s="49" t="s">
        <v>27</v>
      </c>
      <c r="R17" s="193"/>
    </row>
    <row r="18" spans="1:26" ht="15.95" customHeight="1" thickBot="1" x14ac:dyDescent="0.3">
      <c r="A18" s="194"/>
      <c r="B18" s="23" t="s">
        <v>67</v>
      </c>
      <c r="C18" s="50">
        <v>52600.66</v>
      </c>
      <c r="D18" s="51">
        <v>87528.33</v>
      </c>
      <c r="E18" s="52">
        <v>91864.69</v>
      </c>
      <c r="F18" s="53">
        <v>85463.89</v>
      </c>
      <c r="G18" s="54">
        <v>100326.15</v>
      </c>
      <c r="H18" s="55">
        <v>57610.16</v>
      </c>
      <c r="I18" s="53">
        <v>111180.98</v>
      </c>
      <c r="J18" s="53">
        <v>55651.72</v>
      </c>
      <c r="K18" s="53">
        <v>106452.21</v>
      </c>
      <c r="L18" s="56">
        <v>74958.47</v>
      </c>
      <c r="M18" s="53">
        <v>72620.899999999994</v>
      </c>
      <c r="N18" s="57" t="s">
        <v>65</v>
      </c>
      <c r="O18" s="237">
        <f>AVERAGE(C18:N18)</f>
        <v>81478.014545454542</v>
      </c>
      <c r="P18" s="237">
        <f>SUM(C18:N18)</f>
        <v>896258.15999999992</v>
      </c>
      <c r="Q18" s="238">
        <f>MAX(C18:N18)</f>
        <v>111180.98</v>
      </c>
      <c r="R18" s="193"/>
    </row>
    <row r="19" spans="1:26" s="1" customFormat="1" ht="15.95" customHeight="1" thickBot="1" x14ac:dyDescent="0.3">
      <c r="A19" s="194"/>
      <c r="B19" s="31" t="s">
        <v>68</v>
      </c>
      <c r="C19" s="52">
        <v>6260.13</v>
      </c>
      <c r="D19" s="58">
        <v>4175.74</v>
      </c>
      <c r="E19" s="52">
        <v>3191.74</v>
      </c>
      <c r="F19" s="55">
        <v>2706.14</v>
      </c>
      <c r="G19" s="54">
        <v>3254.75</v>
      </c>
      <c r="H19" s="55">
        <v>2306.85</v>
      </c>
      <c r="I19" s="55" t="s">
        <v>41</v>
      </c>
      <c r="J19" s="55">
        <v>3143.03</v>
      </c>
      <c r="K19" s="55">
        <v>3836.63</v>
      </c>
      <c r="L19" s="56">
        <v>3182.11</v>
      </c>
      <c r="M19" s="55">
        <v>4106.75</v>
      </c>
      <c r="N19" s="59">
        <v>4545.6400000000003</v>
      </c>
      <c r="O19" s="237">
        <f t="shared" ref="O19:O27" si="4">AVERAGE(C19:N19)</f>
        <v>3700.8645454545449</v>
      </c>
      <c r="P19" s="237">
        <f t="shared" ref="P19:P27" si="5">SUM(C19:N19)</f>
        <v>40709.509999999995</v>
      </c>
      <c r="Q19" s="238">
        <f t="shared" ref="Q19:Q27" si="6">MAX(C19:N19)</f>
        <v>6260.13</v>
      </c>
      <c r="R19" s="193"/>
      <c r="T19"/>
      <c r="U19"/>
      <c r="V19"/>
      <c r="W19"/>
      <c r="X19"/>
      <c r="Y19"/>
      <c r="Z19"/>
    </row>
    <row r="20" spans="1:26" s="1" customFormat="1" ht="15.95" customHeight="1" thickBot="1" x14ac:dyDescent="0.3">
      <c r="A20" s="194"/>
      <c r="B20" s="31" t="s">
        <v>69</v>
      </c>
      <c r="C20" s="52">
        <v>1216.23</v>
      </c>
      <c r="D20" s="60">
        <v>356.34</v>
      </c>
      <c r="E20" s="52">
        <v>1411.76</v>
      </c>
      <c r="F20" s="55">
        <v>1130.8499999999999</v>
      </c>
      <c r="G20" s="54">
        <v>2922.95</v>
      </c>
      <c r="H20" s="55">
        <v>537.48</v>
      </c>
      <c r="I20" s="55">
        <v>1261.05</v>
      </c>
      <c r="J20" s="55">
        <v>431.91</v>
      </c>
      <c r="K20" s="55" t="s">
        <v>60</v>
      </c>
      <c r="L20" s="55">
        <v>516.52</v>
      </c>
      <c r="M20" s="55">
        <v>1645.22</v>
      </c>
      <c r="N20" s="59">
        <v>1701.98</v>
      </c>
      <c r="O20" s="237">
        <f t="shared" si="4"/>
        <v>1193.8445454545454</v>
      </c>
      <c r="P20" s="237">
        <f t="shared" si="5"/>
        <v>13132.289999999999</v>
      </c>
      <c r="Q20" s="238">
        <f t="shared" si="6"/>
        <v>2922.95</v>
      </c>
      <c r="R20" s="193"/>
      <c r="T20"/>
      <c r="U20"/>
      <c r="V20"/>
      <c r="W20"/>
      <c r="X20"/>
      <c r="Y20"/>
      <c r="Z20"/>
    </row>
    <row r="21" spans="1:26" s="1" customFormat="1" ht="15.95" customHeight="1" thickBot="1" x14ac:dyDescent="0.3">
      <c r="A21" s="194"/>
      <c r="B21" s="31" t="s">
        <v>70</v>
      </c>
      <c r="C21" s="52">
        <v>1783.02</v>
      </c>
      <c r="D21" s="58">
        <v>1910.78</v>
      </c>
      <c r="E21" s="52">
        <v>2075.48</v>
      </c>
      <c r="F21" s="55">
        <v>2641.74</v>
      </c>
      <c r="G21" s="54">
        <v>1344.65</v>
      </c>
      <c r="H21" s="55">
        <v>759.31</v>
      </c>
      <c r="I21" s="55">
        <v>3083.08</v>
      </c>
      <c r="J21" s="55">
        <v>14527.67</v>
      </c>
      <c r="K21" s="55">
        <v>2964.66</v>
      </c>
      <c r="L21" s="54">
        <v>1968.03</v>
      </c>
      <c r="M21" s="55">
        <v>2869.24</v>
      </c>
      <c r="N21" s="59">
        <v>1944.89</v>
      </c>
      <c r="O21" s="237">
        <f t="shared" si="4"/>
        <v>3156.0458333333331</v>
      </c>
      <c r="P21" s="237">
        <f t="shared" si="5"/>
        <v>37872.549999999996</v>
      </c>
      <c r="Q21" s="238">
        <f t="shared" si="6"/>
        <v>14527.67</v>
      </c>
      <c r="R21" s="193"/>
      <c r="T21"/>
      <c r="U21"/>
      <c r="V21"/>
      <c r="W21"/>
      <c r="X21"/>
      <c r="Y21"/>
      <c r="Z21"/>
    </row>
    <row r="22" spans="1:26" ht="15.95" customHeight="1" thickBot="1" x14ac:dyDescent="0.3">
      <c r="A22" s="194"/>
      <c r="B22" s="31" t="s">
        <v>31</v>
      </c>
      <c r="C22" s="52">
        <v>1806.22</v>
      </c>
      <c r="D22" s="58">
        <v>1905.57</v>
      </c>
      <c r="E22" s="52">
        <v>2028.1</v>
      </c>
      <c r="F22" s="61">
        <v>790.13</v>
      </c>
      <c r="G22" s="62">
        <v>1438.18</v>
      </c>
      <c r="H22" s="61">
        <v>3561.39</v>
      </c>
      <c r="I22" s="61"/>
      <c r="J22" s="61">
        <v>890.51</v>
      </c>
      <c r="K22" s="61">
        <v>1835.76</v>
      </c>
      <c r="L22" s="63">
        <v>870.83</v>
      </c>
      <c r="M22" s="61">
        <v>4038.69</v>
      </c>
      <c r="N22" s="64">
        <v>2754.29</v>
      </c>
      <c r="O22" s="237">
        <f t="shared" si="4"/>
        <v>1992.697272727273</v>
      </c>
      <c r="P22" s="237">
        <f t="shared" si="5"/>
        <v>21919.670000000002</v>
      </c>
      <c r="Q22" s="238">
        <f t="shared" si="6"/>
        <v>4038.69</v>
      </c>
      <c r="R22" s="193"/>
    </row>
    <row r="23" spans="1:26" ht="15.95" customHeight="1" thickBot="1" x14ac:dyDescent="0.3">
      <c r="A23" s="194"/>
      <c r="B23" s="31" t="s">
        <v>32</v>
      </c>
      <c r="C23" s="52">
        <v>4427.9399999999996</v>
      </c>
      <c r="D23" s="58">
        <v>1120.97</v>
      </c>
      <c r="E23" s="52">
        <v>2964.53</v>
      </c>
      <c r="F23" s="61">
        <v>2967.13</v>
      </c>
      <c r="G23" s="62">
        <v>2808.88</v>
      </c>
      <c r="H23" s="61">
        <v>1078.9100000000001</v>
      </c>
      <c r="I23" s="61">
        <v>11078.62</v>
      </c>
      <c r="J23" s="61">
        <v>922.37</v>
      </c>
      <c r="K23" s="61">
        <v>114.3</v>
      </c>
      <c r="L23" s="63"/>
      <c r="M23" s="61">
        <v>268.73</v>
      </c>
      <c r="N23" s="65">
        <v>453.28</v>
      </c>
      <c r="O23" s="237">
        <f t="shared" si="4"/>
        <v>2564.150909090909</v>
      </c>
      <c r="P23" s="237">
        <f t="shared" si="5"/>
        <v>28205.66</v>
      </c>
      <c r="Q23" s="238">
        <f t="shared" si="6"/>
        <v>11078.62</v>
      </c>
      <c r="R23" s="193"/>
      <c r="T23" s="1"/>
      <c r="U23" s="1"/>
    </row>
    <row r="24" spans="1:26" ht="15.95" customHeight="1" thickBot="1" x14ac:dyDescent="0.3">
      <c r="A24" s="194"/>
      <c r="B24" s="31" t="s">
        <v>33</v>
      </c>
      <c r="C24" s="66">
        <v>150.13</v>
      </c>
      <c r="D24" s="60">
        <v>213.15</v>
      </c>
      <c r="E24" s="52">
        <v>88.7</v>
      </c>
      <c r="F24" s="61">
        <v>59.71</v>
      </c>
      <c r="G24" s="62">
        <v>30.87</v>
      </c>
      <c r="H24" s="67">
        <v>68.67</v>
      </c>
      <c r="I24" s="61">
        <v>74.040000000000006</v>
      </c>
      <c r="J24" s="67">
        <v>72.78</v>
      </c>
      <c r="K24" s="61">
        <v>869.84</v>
      </c>
      <c r="L24" s="63">
        <v>34.46</v>
      </c>
      <c r="M24" s="61">
        <v>160.59</v>
      </c>
      <c r="N24" s="65">
        <v>178.07</v>
      </c>
      <c r="O24" s="237">
        <f t="shared" si="4"/>
        <v>166.7508333333333</v>
      </c>
      <c r="P24" s="237">
        <f t="shared" si="5"/>
        <v>2001.0099999999998</v>
      </c>
      <c r="Q24" s="238">
        <f t="shared" si="6"/>
        <v>869.84</v>
      </c>
      <c r="R24" s="193"/>
      <c r="T24" s="14"/>
      <c r="U24" s="14"/>
    </row>
    <row r="25" spans="1:26" ht="15.95" customHeight="1" thickBot="1" x14ac:dyDescent="0.3">
      <c r="A25" s="194"/>
      <c r="B25" s="31" t="s">
        <v>71</v>
      </c>
      <c r="C25" s="52">
        <v>1770.28</v>
      </c>
      <c r="D25" s="58">
        <v>2235.73</v>
      </c>
      <c r="E25" s="52">
        <v>1314.34</v>
      </c>
      <c r="F25" s="61">
        <v>1686.67</v>
      </c>
      <c r="G25" s="62">
        <v>475.97</v>
      </c>
      <c r="H25" s="61">
        <v>1984.3</v>
      </c>
      <c r="I25" s="61">
        <v>1328.32</v>
      </c>
      <c r="J25" s="61">
        <v>950.2</v>
      </c>
      <c r="K25" s="61">
        <v>1088.81</v>
      </c>
      <c r="L25" s="62">
        <v>1001.5</v>
      </c>
      <c r="M25" s="61">
        <v>820.89</v>
      </c>
      <c r="N25" s="64">
        <v>2053.4299999999998</v>
      </c>
      <c r="O25" s="237">
        <f t="shared" si="4"/>
        <v>1392.5366666666666</v>
      </c>
      <c r="P25" s="237">
        <f t="shared" si="5"/>
        <v>16710.439999999999</v>
      </c>
      <c r="Q25" s="238">
        <f t="shared" si="6"/>
        <v>2235.73</v>
      </c>
      <c r="R25" s="193"/>
    </row>
    <row r="26" spans="1:26" ht="15.95" customHeight="1" thickBot="1" x14ac:dyDescent="0.3">
      <c r="A26" s="194"/>
      <c r="B26" s="36" t="s">
        <v>72</v>
      </c>
      <c r="C26" s="52">
        <v>5662.02</v>
      </c>
      <c r="D26" s="58">
        <v>8924.49</v>
      </c>
      <c r="E26" s="52">
        <v>2322.52</v>
      </c>
      <c r="F26" s="61">
        <v>2522.62</v>
      </c>
      <c r="G26" s="62">
        <v>1551.11</v>
      </c>
      <c r="H26" s="61">
        <v>1106.45</v>
      </c>
      <c r="I26" s="61">
        <v>5492.52</v>
      </c>
      <c r="J26" s="61">
        <v>2711.7</v>
      </c>
      <c r="K26" s="61">
        <v>2393.21</v>
      </c>
      <c r="L26" s="62">
        <v>3527</v>
      </c>
      <c r="M26" s="61">
        <v>1852.72</v>
      </c>
      <c r="N26" s="64">
        <v>7855.63</v>
      </c>
      <c r="O26" s="237">
        <f t="shared" si="4"/>
        <v>3826.8325</v>
      </c>
      <c r="P26" s="237">
        <f t="shared" si="5"/>
        <v>45921.99</v>
      </c>
      <c r="Q26" s="238">
        <f t="shared" si="6"/>
        <v>8924.49</v>
      </c>
      <c r="R26" s="193"/>
    </row>
    <row r="27" spans="1:26" ht="15.95" customHeight="1" thickBot="1" x14ac:dyDescent="0.3">
      <c r="A27" s="194"/>
      <c r="B27" s="37" t="s">
        <v>35</v>
      </c>
      <c r="C27" s="68">
        <v>31694.5</v>
      </c>
      <c r="D27" s="69">
        <v>21801.4</v>
      </c>
      <c r="E27" s="68">
        <v>24992.29</v>
      </c>
      <c r="F27" s="70"/>
      <c r="G27" s="71">
        <v>24462.32</v>
      </c>
      <c r="H27" s="70">
        <v>17993.490000000002</v>
      </c>
      <c r="I27" s="70">
        <v>16336.62</v>
      </c>
      <c r="J27" s="70">
        <v>25674.11</v>
      </c>
      <c r="K27" s="70">
        <v>17529.09</v>
      </c>
      <c r="L27" s="71">
        <v>21875.71</v>
      </c>
      <c r="M27" s="70">
        <v>28489.22</v>
      </c>
      <c r="N27" s="72">
        <v>42654.18</v>
      </c>
      <c r="O27" s="239">
        <f t="shared" si="4"/>
        <v>24863.902727272733</v>
      </c>
      <c r="P27" s="239">
        <f t="shared" si="5"/>
        <v>273502.93000000005</v>
      </c>
      <c r="Q27" s="240">
        <f t="shared" si="6"/>
        <v>42654.18</v>
      </c>
      <c r="R27" s="193"/>
    </row>
    <row r="28" spans="1:26" ht="15.95" customHeight="1" thickBot="1" x14ac:dyDescent="0.3">
      <c r="A28" s="194"/>
      <c r="B28" s="211" t="s">
        <v>44</v>
      </c>
      <c r="C28" s="73">
        <f>SUM(C18:C27)</f>
        <v>107371.13</v>
      </c>
      <c r="D28" s="73">
        <f t="shared" ref="D28:I28" si="7">SUM(D18:D27)</f>
        <v>130172.5</v>
      </c>
      <c r="E28" s="73">
        <f t="shared" si="7"/>
        <v>132254.15</v>
      </c>
      <c r="F28" s="73">
        <f t="shared" si="7"/>
        <v>99968.880000000019</v>
      </c>
      <c r="G28" s="73">
        <f t="shared" si="7"/>
        <v>138615.82999999999</v>
      </c>
      <c r="H28" s="73">
        <f t="shared" si="7"/>
        <v>87007.010000000009</v>
      </c>
      <c r="I28" s="73">
        <f t="shared" si="7"/>
        <v>149835.22999999998</v>
      </c>
      <c r="J28" s="73">
        <f t="shared" ref="J28:Q28" si="8">SUM(J18:J27)</f>
        <v>104975.99999999999</v>
      </c>
      <c r="K28" s="73">
        <f t="shared" si="8"/>
        <v>137084.51</v>
      </c>
      <c r="L28" s="73">
        <f t="shared" si="8"/>
        <v>107934.63</v>
      </c>
      <c r="M28" s="73">
        <f t="shared" si="8"/>
        <v>116872.95</v>
      </c>
      <c r="N28" s="73">
        <f t="shared" si="8"/>
        <v>64141.39</v>
      </c>
      <c r="O28" s="218">
        <f t="shared" si="8"/>
        <v>124335.64037878788</v>
      </c>
      <c r="P28" s="218">
        <f t="shared" si="8"/>
        <v>1376234.21</v>
      </c>
      <c r="Q28" s="242">
        <f t="shared" si="8"/>
        <v>204693.28</v>
      </c>
      <c r="R28" s="193"/>
    </row>
    <row r="29" spans="1:26" s="1" customFormat="1" ht="6" customHeight="1" thickBot="1" x14ac:dyDescent="0.3">
      <c r="A29" s="192"/>
      <c r="B29" s="212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219"/>
      <c r="P29" s="219"/>
      <c r="Q29" s="243"/>
      <c r="R29" s="193"/>
    </row>
    <row r="30" spans="1:26" ht="15.95" customHeight="1" thickBot="1" x14ac:dyDescent="0.3">
      <c r="A30" s="194"/>
      <c r="B30" s="213" t="s">
        <v>4</v>
      </c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04"/>
      <c r="P30" s="204"/>
      <c r="Q30" s="244"/>
      <c r="R30" s="193"/>
    </row>
    <row r="31" spans="1:26" ht="15.95" customHeight="1" thickBot="1" x14ac:dyDescent="0.3">
      <c r="A31" s="194"/>
      <c r="B31" s="46" t="s">
        <v>37</v>
      </c>
      <c r="C31" s="47" t="s">
        <v>0</v>
      </c>
      <c r="D31" s="48" t="s">
        <v>14</v>
      </c>
      <c r="E31" s="46" t="s">
        <v>15</v>
      </c>
      <c r="F31" s="48" t="s">
        <v>16</v>
      </c>
      <c r="G31" s="48" t="s">
        <v>17</v>
      </c>
      <c r="H31" s="48" t="s">
        <v>18</v>
      </c>
      <c r="I31" s="48" t="s">
        <v>19</v>
      </c>
      <c r="J31" s="48" t="s">
        <v>20</v>
      </c>
      <c r="K31" s="48" t="s">
        <v>21</v>
      </c>
      <c r="L31" s="48" t="s">
        <v>22</v>
      </c>
      <c r="M31" s="48" t="s">
        <v>23</v>
      </c>
      <c r="N31" s="47" t="s">
        <v>24</v>
      </c>
      <c r="O31" s="49" t="s">
        <v>25</v>
      </c>
      <c r="P31" s="49" t="s">
        <v>26</v>
      </c>
      <c r="Q31" s="49" t="s">
        <v>27</v>
      </c>
      <c r="R31" s="193"/>
    </row>
    <row r="32" spans="1:26" ht="15.95" customHeight="1" thickBot="1" x14ac:dyDescent="0.3">
      <c r="A32" s="194"/>
      <c r="B32" s="23" t="s">
        <v>67</v>
      </c>
      <c r="C32" s="281">
        <v>24504.83</v>
      </c>
      <c r="D32" s="282">
        <v>22541.35</v>
      </c>
      <c r="E32" s="283">
        <v>22559.08</v>
      </c>
      <c r="F32" s="112">
        <v>27844.35</v>
      </c>
      <c r="G32" s="114">
        <v>27028.68</v>
      </c>
      <c r="H32" s="115">
        <v>30744.42</v>
      </c>
      <c r="I32" s="112">
        <v>31580.22</v>
      </c>
      <c r="J32" s="112">
        <v>26692.33</v>
      </c>
      <c r="K32" s="112">
        <v>27295.15</v>
      </c>
      <c r="L32" s="116">
        <v>24223.89</v>
      </c>
      <c r="M32" s="112">
        <v>21066.38</v>
      </c>
      <c r="N32" s="75">
        <v>49097.1</v>
      </c>
      <c r="O32" s="237">
        <f>AVERAGE(B32:N32)</f>
        <v>27931.481666666663</v>
      </c>
      <c r="P32" s="238">
        <f>SUM(C32:N32)</f>
        <v>335177.77999999997</v>
      </c>
      <c r="Q32" s="238">
        <f>MAX(C32:N32)</f>
        <v>49097.1</v>
      </c>
      <c r="R32" s="193"/>
    </row>
    <row r="33" spans="1:31" s="1" customFormat="1" ht="15.95" customHeight="1" thickBot="1" x14ac:dyDescent="0.3">
      <c r="A33" s="194"/>
      <c r="B33" s="31" t="s">
        <v>68</v>
      </c>
      <c r="C33" s="284">
        <v>4208.0200000000004</v>
      </c>
      <c r="D33" s="285">
        <v>3239.56</v>
      </c>
      <c r="E33" s="284">
        <v>6558.03</v>
      </c>
      <c r="F33" s="286">
        <v>3047.84</v>
      </c>
      <c r="G33" s="287">
        <v>3435.79</v>
      </c>
      <c r="H33" s="286">
        <v>2191.7800000000002</v>
      </c>
      <c r="I33" s="286">
        <v>2490.85</v>
      </c>
      <c r="J33" s="286">
        <v>4439.4799999999996</v>
      </c>
      <c r="K33" s="286">
        <v>2914.09</v>
      </c>
      <c r="L33" s="287">
        <v>2993.27</v>
      </c>
      <c r="M33" s="286">
        <v>2349.15</v>
      </c>
      <c r="N33" s="288">
        <v>5357.41</v>
      </c>
      <c r="O33" s="237">
        <f t="shared" ref="O33:O41" si="9">AVERAGE(B33:N33)</f>
        <v>3602.1058333333335</v>
      </c>
      <c r="P33" s="238">
        <f t="shared" ref="P33:P41" si="10">SUM(C33:N33)</f>
        <v>43225.270000000004</v>
      </c>
      <c r="Q33" s="238">
        <f t="shared" ref="Q33:Q41" si="11">MAX(C33:N33)</f>
        <v>6558.03</v>
      </c>
      <c r="R33" s="193"/>
      <c r="T33"/>
      <c r="U33"/>
      <c r="V33"/>
      <c r="W33"/>
      <c r="X33"/>
      <c r="Y33"/>
      <c r="Z33"/>
      <c r="AA33"/>
      <c r="AB33"/>
      <c r="AC33"/>
      <c r="AD33"/>
      <c r="AE33"/>
    </row>
    <row r="34" spans="1:31" s="1" customFormat="1" ht="15.95" customHeight="1" thickBot="1" x14ac:dyDescent="0.3">
      <c r="A34" s="194"/>
      <c r="B34" s="31" t="s">
        <v>69</v>
      </c>
      <c r="C34" s="290">
        <v>585.46</v>
      </c>
      <c r="D34" s="291">
        <v>345.86</v>
      </c>
      <c r="E34" s="266">
        <v>288.07</v>
      </c>
      <c r="F34" s="280">
        <v>558.41999999999996</v>
      </c>
      <c r="G34" s="279">
        <v>801.79</v>
      </c>
      <c r="H34" s="280">
        <v>812.66</v>
      </c>
      <c r="I34" s="280">
        <v>1095.2</v>
      </c>
      <c r="J34" s="280">
        <v>752.74</v>
      </c>
      <c r="K34" s="280">
        <v>385.11</v>
      </c>
      <c r="L34" s="279">
        <v>644.28</v>
      </c>
      <c r="M34" s="280">
        <v>489.33</v>
      </c>
      <c r="N34" s="292">
        <v>1158.1099999999999</v>
      </c>
      <c r="O34" s="237">
        <f t="shared" si="9"/>
        <v>659.75249999999994</v>
      </c>
      <c r="P34" s="238">
        <f t="shared" si="10"/>
        <v>7917.0299999999988</v>
      </c>
      <c r="Q34" s="238">
        <f t="shared" si="11"/>
        <v>1158.1099999999999</v>
      </c>
      <c r="R34" s="193"/>
      <c r="T34"/>
      <c r="U34"/>
      <c r="V34"/>
      <c r="W34"/>
      <c r="X34"/>
      <c r="Y34"/>
      <c r="Z34"/>
      <c r="AA34"/>
      <c r="AB34"/>
      <c r="AC34"/>
      <c r="AD34"/>
      <c r="AE34"/>
    </row>
    <row r="35" spans="1:31" s="1" customFormat="1" ht="15.95" customHeight="1" thickBot="1" x14ac:dyDescent="0.3">
      <c r="A35" s="194"/>
      <c r="B35" s="31" t="s">
        <v>70</v>
      </c>
      <c r="C35" s="52">
        <v>1492.93</v>
      </c>
      <c r="D35" s="58">
        <v>1025.3499999999999</v>
      </c>
      <c r="E35" s="52">
        <v>798.43</v>
      </c>
      <c r="F35" s="55">
        <v>1283.57</v>
      </c>
      <c r="G35" s="54">
        <v>1785.2</v>
      </c>
      <c r="H35" s="55">
        <v>1614.01</v>
      </c>
      <c r="I35" s="55">
        <v>1728.92</v>
      </c>
      <c r="J35" s="55">
        <v>1313.2</v>
      </c>
      <c r="K35" s="55">
        <v>1494.65</v>
      </c>
      <c r="L35" s="54">
        <v>1341.65</v>
      </c>
      <c r="M35" s="55">
        <v>1231.55</v>
      </c>
      <c r="N35" s="59">
        <v>1192.1199999999999</v>
      </c>
      <c r="O35" s="237">
        <f t="shared" si="9"/>
        <v>1358.4649999999999</v>
      </c>
      <c r="P35" s="238">
        <f t="shared" si="10"/>
        <v>16301.579999999998</v>
      </c>
      <c r="Q35" s="238">
        <f t="shared" si="11"/>
        <v>1785.2</v>
      </c>
      <c r="R35" s="193"/>
      <c r="T35"/>
      <c r="U35"/>
      <c r="V35"/>
      <c r="W35"/>
      <c r="X35"/>
      <c r="Y35"/>
      <c r="Z35"/>
      <c r="AA35"/>
      <c r="AB35"/>
      <c r="AC35"/>
      <c r="AD35"/>
      <c r="AE35"/>
    </row>
    <row r="36" spans="1:31" ht="15.95" customHeight="1" thickBot="1" x14ac:dyDescent="0.3">
      <c r="A36" s="194"/>
      <c r="B36" s="31" t="s">
        <v>31</v>
      </c>
      <c r="C36" s="52">
        <v>2348.46</v>
      </c>
      <c r="D36" s="58">
        <v>1215.6400000000001</v>
      </c>
      <c r="E36" s="76">
        <v>408.96</v>
      </c>
      <c r="F36" s="67">
        <v>550.64</v>
      </c>
      <c r="G36" s="62">
        <v>244.58</v>
      </c>
      <c r="H36" s="61">
        <v>451.65</v>
      </c>
      <c r="I36" s="61">
        <v>606.97</v>
      </c>
      <c r="J36" s="61">
        <v>3327.55</v>
      </c>
      <c r="K36" s="61">
        <v>104.02</v>
      </c>
      <c r="L36" s="54">
        <v>690</v>
      </c>
      <c r="M36" s="61">
        <v>1175.8900000000001</v>
      </c>
      <c r="N36" s="64">
        <v>1542.28</v>
      </c>
      <c r="O36" s="237">
        <f t="shared" si="9"/>
        <v>1055.5533333333335</v>
      </c>
      <c r="P36" s="238">
        <f t="shared" si="10"/>
        <v>12666.640000000001</v>
      </c>
      <c r="Q36" s="238">
        <f t="shared" si="11"/>
        <v>3327.55</v>
      </c>
      <c r="R36" s="193"/>
    </row>
    <row r="37" spans="1:31" ht="15.95" customHeight="1" thickBot="1" x14ac:dyDescent="0.3">
      <c r="A37" s="194"/>
      <c r="B37" s="31" t="s">
        <v>32</v>
      </c>
      <c r="C37" s="52">
        <v>1227.98</v>
      </c>
      <c r="D37" s="60">
        <v>63.15</v>
      </c>
      <c r="E37" s="76">
        <v>465.33</v>
      </c>
      <c r="F37" s="61">
        <v>567.97</v>
      </c>
      <c r="G37" s="62">
        <v>364.28</v>
      </c>
      <c r="H37" s="77"/>
      <c r="I37" s="61"/>
      <c r="J37" s="61"/>
      <c r="K37" s="61" t="s">
        <v>59</v>
      </c>
      <c r="L37" s="63"/>
      <c r="M37" s="61"/>
      <c r="N37" s="65"/>
      <c r="O37" s="237">
        <f t="shared" si="9"/>
        <v>537.74199999999996</v>
      </c>
      <c r="P37" s="238">
        <f t="shared" si="10"/>
        <v>2688.71</v>
      </c>
      <c r="Q37" s="238">
        <f t="shared" si="11"/>
        <v>1227.98</v>
      </c>
      <c r="R37" s="193"/>
    </row>
    <row r="38" spans="1:31" ht="15.95" customHeight="1" thickBot="1" x14ac:dyDescent="0.3">
      <c r="A38" s="194"/>
      <c r="B38" s="31" t="s">
        <v>33</v>
      </c>
      <c r="C38" s="66"/>
      <c r="D38" s="60"/>
      <c r="E38" s="52">
        <v>31.35</v>
      </c>
      <c r="F38" s="78"/>
      <c r="G38" s="54">
        <v>39.96</v>
      </c>
      <c r="H38" s="67"/>
      <c r="I38" s="61">
        <v>40.119999999999997</v>
      </c>
      <c r="J38" s="67">
        <v>11.61</v>
      </c>
      <c r="K38" s="61">
        <v>6.49</v>
      </c>
      <c r="L38" s="63"/>
      <c r="M38" s="61"/>
      <c r="N38" s="65"/>
      <c r="O38" s="237">
        <f t="shared" si="9"/>
        <v>25.905999999999999</v>
      </c>
      <c r="P38" s="238">
        <f t="shared" si="10"/>
        <v>129.53</v>
      </c>
      <c r="Q38" s="238">
        <f t="shared" si="11"/>
        <v>40.119999999999997</v>
      </c>
      <c r="R38" s="193"/>
    </row>
    <row r="39" spans="1:31" ht="15.95" customHeight="1" thickBot="1" x14ac:dyDescent="0.3">
      <c r="A39" s="194"/>
      <c r="B39" s="31" t="s">
        <v>71</v>
      </c>
      <c r="C39" s="66">
        <v>496.9</v>
      </c>
      <c r="D39" s="60">
        <v>351.37</v>
      </c>
      <c r="E39" s="52">
        <v>366.55</v>
      </c>
      <c r="F39" s="61">
        <v>297.04000000000002</v>
      </c>
      <c r="G39" s="62">
        <v>783.14</v>
      </c>
      <c r="H39" s="61">
        <v>600.69000000000005</v>
      </c>
      <c r="I39" s="61">
        <v>820.33</v>
      </c>
      <c r="J39" s="61">
        <v>465.11</v>
      </c>
      <c r="K39" s="61">
        <v>759.2</v>
      </c>
      <c r="L39" s="62">
        <v>1527.48</v>
      </c>
      <c r="M39" s="61">
        <v>535.87</v>
      </c>
      <c r="N39" s="65">
        <v>469.65</v>
      </c>
      <c r="O39" s="237">
        <f t="shared" si="9"/>
        <v>622.77749999999992</v>
      </c>
      <c r="P39" s="238">
        <f t="shared" si="10"/>
        <v>7473.329999999999</v>
      </c>
      <c r="Q39" s="238">
        <f t="shared" si="11"/>
        <v>1527.48</v>
      </c>
      <c r="R39" s="193"/>
    </row>
    <row r="40" spans="1:31" ht="15.95" customHeight="1" x14ac:dyDescent="0.25">
      <c r="A40" s="194"/>
      <c r="B40" s="36" t="s">
        <v>72</v>
      </c>
      <c r="C40" s="52">
        <v>2703.29</v>
      </c>
      <c r="D40" s="58">
        <v>1376.58</v>
      </c>
      <c r="E40" s="52">
        <v>3921.2</v>
      </c>
      <c r="F40" s="61">
        <v>633.24</v>
      </c>
      <c r="G40" s="63">
        <v>908.12</v>
      </c>
      <c r="H40" s="61">
        <v>2364.96</v>
      </c>
      <c r="I40" s="61">
        <v>4018.87</v>
      </c>
      <c r="J40" s="61">
        <v>1327.28</v>
      </c>
      <c r="K40" s="61">
        <v>1811.34</v>
      </c>
      <c r="L40" s="82">
        <v>1537.43</v>
      </c>
      <c r="M40" s="61">
        <v>1413.23</v>
      </c>
      <c r="N40" s="64">
        <v>1042.42</v>
      </c>
      <c r="O40" s="237">
        <f t="shared" si="9"/>
        <v>1921.4966666666667</v>
      </c>
      <c r="P40" s="238">
        <f t="shared" si="10"/>
        <v>23057.96</v>
      </c>
      <c r="Q40" s="238">
        <f t="shared" si="11"/>
        <v>4018.87</v>
      </c>
      <c r="R40" s="193"/>
    </row>
    <row r="41" spans="1:31" ht="15.95" customHeight="1" thickBot="1" x14ac:dyDescent="0.3">
      <c r="A41" s="194"/>
      <c r="B41" s="37" t="s">
        <v>35</v>
      </c>
      <c r="C41" s="68">
        <v>23313.82</v>
      </c>
      <c r="D41" s="69">
        <v>19469.28</v>
      </c>
      <c r="E41" s="68">
        <v>24531.87</v>
      </c>
      <c r="F41" s="70">
        <v>28001.17</v>
      </c>
      <c r="G41" s="71">
        <v>22094.46</v>
      </c>
      <c r="H41" s="70">
        <v>17595.419999999998</v>
      </c>
      <c r="I41" s="70">
        <v>22542.93</v>
      </c>
      <c r="J41" s="70">
        <v>17850.759999999998</v>
      </c>
      <c r="K41" s="70">
        <v>18505.96</v>
      </c>
      <c r="L41" s="79">
        <v>34479.4</v>
      </c>
      <c r="M41" s="70">
        <v>22509.17</v>
      </c>
      <c r="N41" s="72">
        <v>22675.52</v>
      </c>
      <c r="O41" s="245">
        <f t="shared" si="9"/>
        <v>22797.48</v>
      </c>
      <c r="P41" s="246">
        <f t="shared" si="10"/>
        <v>273569.76</v>
      </c>
      <c r="Q41" s="247">
        <f t="shared" si="11"/>
        <v>34479.4</v>
      </c>
      <c r="R41" s="193"/>
    </row>
    <row r="42" spans="1:31" ht="15.95" customHeight="1" thickBot="1" x14ac:dyDescent="0.3">
      <c r="A42" s="194"/>
      <c r="B42" s="211" t="s">
        <v>44</v>
      </c>
      <c r="C42" s="80">
        <f>SUM(C32:C41)</f>
        <v>60881.69000000001</v>
      </c>
      <c r="D42" s="80">
        <f t="shared" ref="D42:I42" si="12">SUM(D32:D41)</f>
        <v>49628.14</v>
      </c>
      <c r="E42" s="80">
        <f t="shared" si="12"/>
        <v>59928.869999999995</v>
      </c>
      <c r="F42" s="80">
        <f t="shared" si="12"/>
        <v>62784.24</v>
      </c>
      <c r="G42" s="80">
        <f t="shared" si="12"/>
        <v>57486</v>
      </c>
      <c r="H42" s="80">
        <f t="shared" si="12"/>
        <v>56375.590000000004</v>
      </c>
      <c r="I42" s="80">
        <f t="shared" si="12"/>
        <v>64924.41</v>
      </c>
      <c r="J42" s="80">
        <f t="shared" ref="J42:Q42" si="13">SUM(J32:J41)</f>
        <v>56180.06</v>
      </c>
      <c r="K42" s="80">
        <f t="shared" si="13"/>
        <v>53276.01</v>
      </c>
      <c r="L42" s="80">
        <f t="shared" si="13"/>
        <v>67437.399999999994</v>
      </c>
      <c r="M42" s="80">
        <f t="shared" si="13"/>
        <v>50770.57</v>
      </c>
      <c r="N42" s="80">
        <f t="shared" si="13"/>
        <v>82534.61</v>
      </c>
      <c r="O42" s="220">
        <f t="shared" si="13"/>
        <v>60512.760499999989</v>
      </c>
      <c r="P42" s="220">
        <f t="shared" si="13"/>
        <v>722207.59000000008</v>
      </c>
      <c r="Q42" s="248">
        <f t="shared" si="13"/>
        <v>103219.84</v>
      </c>
      <c r="R42" s="193"/>
    </row>
    <row r="43" spans="1:31" s="1" customFormat="1" ht="6" customHeight="1" thickBot="1" x14ac:dyDescent="0.3">
      <c r="A43" s="192"/>
      <c r="B43" s="212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219"/>
      <c r="P43" s="219"/>
      <c r="Q43" s="243"/>
      <c r="R43" s="193"/>
    </row>
    <row r="44" spans="1:31" ht="15.95" customHeight="1" thickBot="1" x14ac:dyDescent="0.3">
      <c r="A44" s="194"/>
      <c r="B44" s="213" t="s">
        <v>5</v>
      </c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204"/>
      <c r="P44" s="204"/>
      <c r="Q44" s="244"/>
      <c r="R44" s="193"/>
    </row>
    <row r="45" spans="1:31" ht="15.95" customHeight="1" thickBot="1" x14ac:dyDescent="0.3">
      <c r="A45" s="194"/>
      <c r="B45" s="46" t="s">
        <v>37</v>
      </c>
      <c r="C45" s="47" t="s">
        <v>0</v>
      </c>
      <c r="D45" s="48" t="s">
        <v>14</v>
      </c>
      <c r="E45" s="46" t="s">
        <v>15</v>
      </c>
      <c r="F45" s="48" t="s">
        <v>16</v>
      </c>
      <c r="G45" s="48" t="s">
        <v>17</v>
      </c>
      <c r="H45" s="48" t="s">
        <v>18</v>
      </c>
      <c r="I45" s="48" t="s">
        <v>19</v>
      </c>
      <c r="J45" s="48" t="s">
        <v>20</v>
      </c>
      <c r="K45" s="48" t="s">
        <v>21</v>
      </c>
      <c r="L45" s="48" t="s">
        <v>22</v>
      </c>
      <c r="M45" s="48" t="s">
        <v>23</v>
      </c>
      <c r="N45" s="47" t="s">
        <v>24</v>
      </c>
      <c r="O45" s="49" t="s">
        <v>25</v>
      </c>
      <c r="P45" s="49" t="s">
        <v>26</v>
      </c>
      <c r="Q45" s="49" t="s">
        <v>27</v>
      </c>
      <c r="R45" s="193"/>
    </row>
    <row r="46" spans="1:31" ht="15.95" customHeight="1" thickBot="1" x14ac:dyDescent="0.3">
      <c r="A46" s="194"/>
      <c r="B46" s="23" t="s">
        <v>67</v>
      </c>
      <c r="C46" s="50">
        <v>26248.63</v>
      </c>
      <c r="D46" s="51">
        <v>24277.34</v>
      </c>
      <c r="E46" s="52">
        <v>24814.5</v>
      </c>
      <c r="F46" s="53">
        <v>26640.73</v>
      </c>
      <c r="G46" s="54">
        <v>27935.3</v>
      </c>
      <c r="H46" s="53">
        <v>27334.02</v>
      </c>
      <c r="I46" s="53" t="s">
        <v>42</v>
      </c>
      <c r="J46" s="55">
        <v>24146.67</v>
      </c>
      <c r="K46" s="53">
        <v>32465.88</v>
      </c>
      <c r="L46" s="56">
        <v>28739.7</v>
      </c>
      <c r="M46" s="53">
        <v>30579.69</v>
      </c>
      <c r="N46" s="75">
        <v>31038.63</v>
      </c>
      <c r="O46" s="237">
        <f>AVERAGE(B46:N46)</f>
        <v>27656.46272727273</v>
      </c>
      <c r="P46" s="237">
        <f>SUM(C46:N46)</f>
        <v>304221.09000000003</v>
      </c>
      <c r="Q46" s="238">
        <f>MAX(C46:N46)</f>
        <v>32465.88</v>
      </c>
      <c r="R46" s="193"/>
    </row>
    <row r="47" spans="1:31" s="1" customFormat="1" ht="15.95" customHeight="1" thickBot="1" x14ac:dyDescent="0.3">
      <c r="A47" s="194"/>
      <c r="B47" s="31" t="s">
        <v>68</v>
      </c>
      <c r="C47" s="275">
        <v>15060.8</v>
      </c>
      <c r="D47" s="293">
        <v>13441.6</v>
      </c>
      <c r="E47" s="275">
        <v>14461.18</v>
      </c>
      <c r="F47" s="278">
        <v>16891.96</v>
      </c>
      <c r="G47" s="277">
        <v>19118.3</v>
      </c>
      <c r="H47" s="278">
        <v>18364.400000000001</v>
      </c>
      <c r="I47" s="278">
        <v>21164.06</v>
      </c>
      <c r="J47" s="276">
        <v>18585.93</v>
      </c>
      <c r="K47" s="278">
        <v>19675.91</v>
      </c>
      <c r="L47" s="277">
        <v>18687.77</v>
      </c>
      <c r="M47" s="278">
        <v>16831.18</v>
      </c>
      <c r="N47" s="289">
        <v>24970.63</v>
      </c>
      <c r="O47" s="237">
        <f t="shared" ref="O47:O55" si="14">AVERAGE(B47:N47)</f>
        <v>18104.476666666666</v>
      </c>
      <c r="P47" s="237">
        <f t="shared" ref="P47:P55" si="15">SUM(C47:N47)</f>
        <v>217253.71999999997</v>
      </c>
      <c r="Q47" s="238">
        <f t="shared" ref="Q47:Q55" si="16">MAX(C47:N47)</f>
        <v>24970.63</v>
      </c>
      <c r="R47" s="193"/>
      <c r="T47"/>
      <c r="U47"/>
      <c r="V47"/>
      <c r="W47"/>
      <c r="X47"/>
      <c r="Y47"/>
      <c r="Z47"/>
    </row>
    <row r="48" spans="1:31" s="1" customFormat="1" ht="15.95" customHeight="1" thickBot="1" x14ac:dyDescent="0.3">
      <c r="A48" s="194"/>
      <c r="B48" s="31" t="s">
        <v>69</v>
      </c>
      <c r="C48" s="66">
        <v>863.45</v>
      </c>
      <c r="D48" s="60">
        <v>275.97000000000003</v>
      </c>
      <c r="E48" s="52">
        <v>78.25</v>
      </c>
      <c r="F48" s="55">
        <v>1262.1600000000001</v>
      </c>
      <c r="G48" s="54">
        <v>828.95</v>
      </c>
      <c r="H48" s="55">
        <v>334.19</v>
      </c>
      <c r="I48" s="55">
        <v>93.51</v>
      </c>
      <c r="J48" s="55">
        <v>1333.96</v>
      </c>
      <c r="K48" s="55">
        <v>1222.28</v>
      </c>
      <c r="L48" s="54"/>
      <c r="M48" s="55">
        <v>247.8</v>
      </c>
      <c r="N48" s="81" t="s">
        <v>56</v>
      </c>
      <c r="O48" s="237">
        <f t="shared" si="14"/>
        <v>654.05200000000002</v>
      </c>
      <c r="P48" s="237">
        <f t="shared" si="15"/>
        <v>6540.52</v>
      </c>
      <c r="Q48" s="238">
        <f t="shared" si="16"/>
        <v>1333.96</v>
      </c>
      <c r="R48" s="193"/>
      <c r="T48"/>
      <c r="U48"/>
      <c r="V48"/>
      <c r="W48"/>
      <c r="X48"/>
      <c r="Y48"/>
      <c r="Z48"/>
    </row>
    <row r="49" spans="1:26" s="1" customFormat="1" ht="15.95" customHeight="1" thickBot="1" x14ac:dyDescent="0.3">
      <c r="A49" s="194"/>
      <c r="B49" s="31" t="s">
        <v>70</v>
      </c>
      <c r="C49" s="52">
        <v>3330.01</v>
      </c>
      <c r="D49" s="58">
        <v>2688.46</v>
      </c>
      <c r="E49" s="52">
        <v>2134.15</v>
      </c>
      <c r="F49" s="55">
        <v>2408.11</v>
      </c>
      <c r="G49" s="54">
        <v>2117.25</v>
      </c>
      <c r="H49" s="55">
        <v>1552.24</v>
      </c>
      <c r="I49" s="55">
        <v>1076.54</v>
      </c>
      <c r="J49" s="55">
        <v>2065.1</v>
      </c>
      <c r="K49" s="55">
        <v>2765.92</v>
      </c>
      <c r="L49" s="54"/>
      <c r="M49" s="55">
        <v>2232.52</v>
      </c>
      <c r="N49" s="59"/>
      <c r="O49" s="237">
        <f t="shared" si="14"/>
        <v>2237.0299999999997</v>
      </c>
      <c r="P49" s="237">
        <f t="shared" si="15"/>
        <v>22370.3</v>
      </c>
      <c r="Q49" s="238">
        <f t="shared" si="16"/>
        <v>3330.01</v>
      </c>
      <c r="R49" s="193"/>
      <c r="T49"/>
      <c r="U49"/>
      <c r="V49"/>
      <c r="W49"/>
      <c r="X49"/>
      <c r="Y49"/>
      <c r="Z49"/>
    </row>
    <row r="50" spans="1:26" ht="15.95" customHeight="1" thickBot="1" x14ac:dyDescent="0.3">
      <c r="A50" s="194"/>
      <c r="B50" s="31" t="s">
        <v>31</v>
      </c>
      <c r="C50" s="52">
        <v>1071.79</v>
      </c>
      <c r="D50" s="60">
        <v>252.45</v>
      </c>
      <c r="E50" s="52">
        <v>863.3</v>
      </c>
      <c r="F50" s="61">
        <v>1073.0899999999999</v>
      </c>
      <c r="G50" s="62">
        <v>984.13</v>
      </c>
      <c r="H50" s="61">
        <v>214.48</v>
      </c>
      <c r="I50" s="61"/>
      <c r="J50" s="61">
        <v>1564.14</v>
      </c>
      <c r="K50" s="61">
        <v>414.37</v>
      </c>
      <c r="L50" s="54">
        <v>343.33</v>
      </c>
      <c r="M50" s="61">
        <v>1553.89</v>
      </c>
      <c r="N50" s="64">
        <v>2332.38</v>
      </c>
      <c r="O50" s="237">
        <f t="shared" si="14"/>
        <v>969.75909090909079</v>
      </c>
      <c r="P50" s="237">
        <f t="shared" si="15"/>
        <v>10667.349999999999</v>
      </c>
      <c r="Q50" s="238">
        <f t="shared" si="16"/>
        <v>2332.38</v>
      </c>
      <c r="R50" s="193"/>
    </row>
    <row r="51" spans="1:26" ht="15.95" customHeight="1" thickBot="1" x14ac:dyDescent="0.3">
      <c r="A51" s="194"/>
      <c r="B51" s="31" t="s">
        <v>32</v>
      </c>
      <c r="C51" s="52">
        <v>3908.94</v>
      </c>
      <c r="D51" s="60">
        <v>401.67</v>
      </c>
      <c r="E51" s="52">
        <v>1503.92</v>
      </c>
      <c r="F51" s="61">
        <v>292.72000000000003</v>
      </c>
      <c r="G51" s="62">
        <v>148.34</v>
      </c>
      <c r="H51" s="61">
        <v>2551.39</v>
      </c>
      <c r="I51" s="61" t="s">
        <v>58</v>
      </c>
      <c r="J51" s="61"/>
      <c r="K51" s="61">
        <v>519.16</v>
      </c>
      <c r="L51" s="63"/>
      <c r="M51" s="61"/>
      <c r="N51" s="65">
        <v>728.72</v>
      </c>
      <c r="O51" s="237">
        <f t="shared" si="14"/>
        <v>1256.8574999999998</v>
      </c>
      <c r="P51" s="237">
        <f t="shared" si="15"/>
        <v>10054.859999999999</v>
      </c>
      <c r="Q51" s="238">
        <f t="shared" si="16"/>
        <v>3908.94</v>
      </c>
      <c r="R51" s="193"/>
    </row>
    <row r="52" spans="1:26" ht="15.95" customHeight="1" thickBot="1" x14ac:dyDescent="0.3">
      <c r="A52" s="194"/>
      <c r="B52" s="31" t="s">
        <v>33</v>
      </c>
      <c r="C52" s="66" t="s">
        <v>58</v>
      </c>
      <c r="D52" s="60">
        <v>68.72</v>
      </c>
      <c r="E52" s="52">
        <v>65.91</v>
      </c>
      <c r="F52" s="82">
        <v>25.14</v>
      </c>
      <c r="G52" s="62"/>
      <c r="H52" s="61"/>
      <c r="I52" s="67"/>
      <c r="J52" s="67"/>
      <c r="K52" s="61">
        <v>22.28</v>
      </c>
      <c r="L52" s="63"/>
      <c r="M52" s="61">
        <v>68.06</v>
      </c>
      <c r="N52" s="65">
        <v>96.96</v>
      </c>
      <c r="O52" s="237">
        <f t="shared" si="14"/>
        <v>57.844999999999999</v>
      </c>
      <c r="P52" s="237">
        <f t="shared" si="15"/>
        <v>347.07</v>
      </c>
      <c r="Q52" s="238">
        <f t="shared" si="16"/>
        <v>96.96</v>
      </c>
      <c r="R52" s="193"/>
    </row>
    <row r="53" spans="1:26" ht="15.95" customHeight="1" thickBot="1" x14ac:dyDescent="0.3">
      <c r="A53" s="194"/>
      <c r="B53" s="31" t="s">
        <v>71</v>
      </c>
      <c r="C53" s="52">
        <v>1321.08</v>
      </c>
      <c r="D53" s="60">
        <v>943.98</v>
      </c>
      <c r="E53" s="52">
        <v>935.51</v>
      </c>
      <c r="F53" s="62">
        <v>833.14</v>
      </c>
      <c r="G53" s="62">
        <v>790.32</v>
      </c>
      <c r="H53" s="61">
        <v>1782.41</v>
      </c>
      <c r="I53" s="61">
        <v>2798.96</v>
      </c>
      <c r="J53" s="61">
        <v>508.64</v>
      </c>
      <c r="K53" s="61">
        <v>1205.8399999999999</v>
      </c>
      <c r="L53" s="62">
        <v>689.26</v>
      </c>
      <c r="M53" s="61">
        <v>1464.72</v>
      </c>
      <c r="N53" s="65">
        <v>831.47</v>
      </c>
      <c r="O53" s="237">
        <f t="shared" si="14"/>
        <v>1175.4441666666664</v>
      </c>
      <c r="P53" s="237">
        <f t="shared" si="15"/>
        <v>14105.329999999998</v>
      </c>
      <c r="Q53" s="238">
        <f t="shared" si="16"/>
        <v>2798.96</v>
      </c>
      <c r="R53" s="193"/>
    </row>
    <row r="54" spans="1:26" ht="15.95" customHeight="1" thickBot="1" x14ac:dyDescent="0.3">
      <c r="A54" s="194"/>
      <c r="B54" s="36" t="s">
        <v>72</v>
      </c>
      <c r="C54" s="52">
        <v>2301.9299999999998</v>
      </c>
      <c r="D54" s="58">
        <v>2301.44</v>
      </c>
      <c r="E54" s="52">
        <v>442.08</v>
      </c>
      <c r="F54" s="83">
        <v>973.35</v>
      </c>
      <c r="G54" s="62">
        <v>1227</v>
      </c>
      <c r="H54" s="78">
        <v>749.25</v>
      </c>
      <c r="I54" s="83" t="s">
        <v>43</v>
      </c>
      <c r="J54" s="78">
        <v>710.93</v>
      </c>
      <c r="K54" s="67">
        <v>362.92</v>
      </c>
      <c r="L54" s="82">
        <v>503.17</v>
      </c>
      <c r="M54" s="83">
        <v>6651.68</v>
      </c>
      <c r="N54" s="84">
        <v>2395.19</v>
      </c>
      <c r="O54" s="237">
        <f t="shared" si="14"/>
        <v>1692.630909090909</v>
      </c>
      <c r="P54" s="237">
        <f t="shared" si="15"/>
        <v>18618.939999999999</v>
      </c>
      <c r="Q54" s="238">
        <f t="shared" si="16"/>
        <v>6651.68</v>
      </c>
      <c r="R54" s="193"/>
    </row>
    <row r="55" spans="1:26" ht="15.95" customHeight="1" thickBot="1" x14ac:dyDescent="0.3">
      <c r="A55" s="194"/>
      <c r="B55" s="37" t="s">
        <v>35</v>
      </c>
      <c r="C55" s="68">
        <v>8143.38</v>
      </c>
      <c r="D55" s="69">
        <v>15995.55</v>
      </c>
      <c r="E55" s="68">
        <v>14733.89</v>
      </c>
      <c r="F55" s="79">
        <v>12681.2</v>
      </c>
      <c r="G55" s="85">
        <v>9568.7199999999993</v>
      </c>
      <c r="H55" s="79">
        <v>18755.240000000002</v>
      </c>
      <c r="I55" s="79">
        <v>3896.69</v>
      </c>
      <c r="J55" s="79">
        <v>16633.28</v>
      </c>
      <c r="K55" s="86">
        <v>8737.2999999999993</v>
      </c>
      <c r="L55" s="79">
        <v>8357.07</v>
      </c>
      <c r="M55" s="79">
        <v>9943.31</v>
      </c>
      <c r="N55" s="87">
        <v>11224.72</v>
      </c>
      <c r="O55" s="239">
        <f t="shared" si="14"/>
        <v>11555.862500000001</v>
      </c>
      <c r="P55" s="239">
        <f t="shared" si="15"/>
        <v>138670.35</v>
      </c>
      <c r="Q55" s="240">
        <f t="shared" si="16"/>
        <v>18755.240000000002</v>
      </c>
      <c r="R55" s="193"/>
    </row>
    <row r="56" spans="1:26" ht="15.95" customHeight="1" thickBot="1" x14ac:dyDescent="0.3">
      <c r="A56" s="194"/>
      <c r="B56" s="211" t="s">
        <v>44</v>
      </c>
      <c r="C56" s="73">
        <f>SUM(C46:C55)</f>
        <v>62250.01</v>
      </c>
      <c r="D56" s="73">
        <f t="shared" ref="D56:I56" si="17">SUM(D46:D55)</f>
        <v>60647.180000000008</v>
      </c>
      <c r="E56" s="73">
        <f t="shared" si="17"/>
        <v>60032.69000000001</v>
      </c>
      <c r="F56" s="73">
        <f t="shared" si="17"/>
        <v>63081.600000000006</v>
      </c>
      <c r="G56" s="73">
        <f t="shared" si="17"/>
        <v>62718.30999999999</v>
      </c>
      <c r="H56" s="73">
        <f t="shared" si="17"/>
        <v>71637.62000000001</v>
      </c>
      <c r="I56" s="80">
        <f t="shared" si="17"/>
        <v>29029.759999999998</v>
      </c>
      <c r="J56" s="73">
        <f t="shared" ref="J56:Q56" si="18">SUM(J46:J55)</f>
        <v>65548.649999999994</v>
      </c>
      <c r="K56" s="73">
        <f t="shared" si="18"/>
        <v>67391.86</v>
      </c>
      <c r="L56" s="73">
        <f t="shared" si="18"/>
        <v>57320.3</v>
      </c>
      <c r="M56" s="73">
        <f t="shared" si="18"/>
        <v>69572.849999999991</v>
      </c>
      <c r="N56" s="73">
        <f t="shared" si="18"/>
        <v>73618.7</v>
      </c>
      <c r="O56" s="218">
        <f t="shared" si="18"/>
        <v>65360.420560606071</v>
      </c>
      <c r="P56" s="220">
        <f t="shared" si="18"/>
        <v>742849.5299999998</v>
      </c>
      <c r="Q56" s="249">
        <f t="shared" si="18"/>
        <v>96644.640000000029</v>
      </c>
      <c r="R56" s="193"/>
    </row>
    <row r="57" spans="1:26" ht="6" customHeight="1" thickBot="1" x14ac:dyDescent="0.3">
      <c r="A57" s="192"/>
      <c r="B57" s="89"/>
      <c r="C57" s="89"/>
      <c r="D57" s="89"/>
      <c r="E57" s="89"/>
      <c r="F57" s="89"/>
      <c r="G57" s="89"/>
      <c r="H57" s="89"/>
      <c r="I57" s="228"/>
      <c r="J57" s="89"/>
      <c r="K57" s="89"/>
      <c r="L57" s="89"/>
      <c r="M57" s="89"/>
      <c r="N57" s="89"/>
      <c r="O57" s="205"/>
      <c r="P57" s="221"/>
      <c r="Q57" s="205"/>
      <c r="R57" s="193"/>
    </row>
    <row r="58" spans="1:26" ht="15.95" customHeight="1" thickBot="1" x14ac:dyDescent="0.3">
      <c r="A58" s="192"/>
      <c r="B58" s="214" t="s">
        <v>6</v>
      </c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0"/>
      <c r="P58" s="90"/>
      <c r="Q58" s="92"/>
      <c r="R58" s="193"/>
    </row>
    <row r="59" spans="1:26" ht="15.95" customHeight="1" thickBot="1" x14ac:dyDescent="0.3">
      <c r="A59" s="192"/>
      <c r="B59" s="48" t="s">
        <v>36</v>
      </c>
      <c r="C59" s="93" t="s">
        <v>0</v>
      </c>
      <c r="D59" s="94" t="s">
        <v>14</v>
      </c>
      <c r="E59" s="95" t="s">
        <v>15</v>
      </c>
      <c r="F59" s="94" t="s">
        <v>16</v>
      </c>
      <c r="G59" s="94" t="s">
        <v>17</v>
      </c>
      <c r="H59" s="94" t="s">
        <v>18</v>
      </c>
      <c r="I59" s="95" t="s">
        <v>19</v>
      </c>
      <c r="J59" s="94" t="s">
        <v>20</v>
      </c>
      <c r="K59" s="94" t="s">
        <v>21</v>
      </c>
      <c r="L59" s="94" t="s">
        <v>22</v>
      </c>
      <c r="M59" s="94" t="s">
        <v>23</v>
      </c>
      <c r="N59" s="93" t="s">
        <v>24</v>
      </c>
      <c r="O59" s="96" t="s">
        <v>25</v>
      </c>
      <c r="P59" s="96" t="s">
        <v>26</v>
      </c>
      <c r="Q59" s="96" t="s">
        <v>27</v>
      </c>
      <c r="R59" s="193"/>
    </row>
    <row r="60" spans="1:26" ht="15.95" customHeight="1" thickBot="1" x14ac:dyDescent="0.3">
      <c r="A60" s="192"/>
      <c r="B60" s="97" t="s">
        <v>35</v>
      </c>
      <c r="C60" s="98">
        <v>79589.84</v>
      </c>
      <c r="D60" s="69">
        <v>102816.2</v>
      </c>
      <c r="E60" s="99">
        <v>10578.9</v>
      </c>
      <c r="F60" s="222">
        <v>41909.760000000002</v>
      </c>
      <c r="G60" s="100">
        <v>140400</v>
      </c>
      <c r="H60" s="223">
        <v>53681.04</v>
      </c>
      <c r="I60" s="224">
        <v>33016.36</v>
      </c>
      <c r="J60" s="225">
        <v>36280.800000000003</v>
      </c>
      <c r="K60" s="101">
        <v>108472.12</v>
      </c>
      <c r="L60" s="101">
        <v>40026.720000000001</v>
      </c>
      <c r="M60" s="102" t="s">
        <v>63</v>
      </c>
      <c r="N60" s="103">
        <v>21828.959999999999</v>
      </c>
      <c r="O60" s="239">
        <f>AVERAGE(C60:N60)</f>
        <v>60781.881818181806</v>
      </c>
      <c r="P60" s="239">
        <f>SUM(C60:N60)</f>
        <v>668600.69999999984</v>
      </c>
      <c r="Q60" s="240">
        <f>MAX(C60:N60)</f>
        <v>140400</v>
      </c>
      <c r="R60" s="193"/>
    </row>
    <row r="61" spans="1:26" ht="6.75" customHeight="1" thickBot="1" x14ac:dyDescent="0.3">
      <c r="A61" s="192"/>
      <c r="B61" s="89"/>
      <c r="C61" s="89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6"/>
      <c r="P61" s="226"/>
      <c r="Q61" s="226"/>
      <c r="R61" s="195"/>
    </row>
    <row r="62" spans="1:26" ht="15.95" customHeight="1" thickTop="1" thickBot="1" x14ac:dyDescent="0.3">
      <c r="A62" s="192"/>
      <c r="B62" s="214" t="s">
        <v>64</v>
      </c>
      <c r="C62" s="230"/>
      <c r="S62" s="1"/>
    </row>
    <row r="63" spans="1:26" ht="15.95" customHeight="1" thickBot="1" x14ac:dyDescent="0.3">
      <c r="A63" s="192"/>
      <c r="B63" s="46" t="s">
        <v>37</v>
      </c>
      <c r="C63" s="104" t="s">
        <v>24</v>
      </c>
      <c r="S63" s="1"/>
    </row>
    <row r="64" spans="1:26" ht="15.95" customHeight="1" x14ac:dyDescent="0.25">
      <c r="A64" s="192"/>
      <c r="B64" s="23" t="s">
        <v>67</v>
      </c>
      <c r="C64" s="105" t="s">
        <v>66</v>
      </c>
      <c r="S64" s="1"/>
    </row>
    <row r="65" spans="1:19" ht="15.95" customHeight="1" x14ac:dyDescent="0.25">
      <c r="A65" s="192"/>
      <c r="B65" s="31" t="s">
        <v>68</v>
      </c>
      <c r="C65" s="106">
        <v>2349.87</v>
      </c>
      <c r="S65" s="1"/>
    </row>
    <row r="66" spans="1:19" ht="15.95" customHeight="1" x14ac:dyDescent="0.25">
      <c r="A66" s="192"/>
      <c r="B66" s="31" t="s">
        <v>69</v>
      </c>
      <c r="C66" s="106">
        <v>1286.23</v>
      </c>
      <c r="S66" s="1"/>
    </row>
    <row r="67" spans="1:19" ht="15.95" customHeight="1" x14ac:dyDescent="0.25">
      <c r="A67" s="192"/>
      <c r="B67" s="31" t="s">
        <v>70</v>
      </c>
      <c r="C67" s="106">
        <v>2078.7199999999998</v>
      </c>
      <c r="S67" s="1"/>
    </row>
    <row r="68" spans="1:19" ht="15.95" customHeight="1" x14ac:dyDescent="0.25">
      <c r="A68" s="192"/>
      <c r="B68" s="31" t="s">
        <v>31</v>
      </c>
      <c r="C68" s="107">
        <v>119.93</v>
      </c>
      <c r="S68" s="1"/>
    </row>
    <row r="69" spans="1:19" ht="15.95" customHeight="1" x14ac:dyDescent="0.25">
      <c r="A69" s="192"/>
      <c r="B69" s="31" t="s">
        <v>32</v>
      </c>
      <c r="C69" s="107"/>
      <c r="S69" s="1"/>
    </row>
    <row r="70" spans="1:19" ht="15.95" customHeight="1" x14ac:dyDescent="0.25">
      <c r="A70" s="192"/>
      <c r="B70" s="31" t="s">
        <v>33</v>
      </c>
      <c r="C70" s="107"/>
      <c r="S70" s="1"/>
    </row>
    <row r="71" spans="1:19" ht="15.95" customHeight="1" x14ac:dyDescent="0.25">
      <c r="A71" s="192"/>
      <c r="B71" s="31" t="s">
        <v>71</v>
      </c>
      <c r="C71" s="107">
        <v>643.87</v>
      </c>
      <c r="S71" s="1"/>
    </row>
    <row r="72" spans="1:19" ht="15.95" customHeight="1" x14ac:dyDescent="0.25">
      <c r="A72" s="192"/>
      <c r="B72" s="36" t="s">
        <v>72</v>
      </c>
      <c r="C72" s="108">
        <v>350</v>
      </c>
      <c r="S72" s="1"/>
    </row>
    <row r="73" spans="1:19" ht="15.95" customHeight="1" thickBot="1" x14ac:dyDescent="0.3">
      <c r="A73" s="192"/>
      <c r="B73" s="37" t="s">
        <v>35</v>
      </c>
      <c r="C73" s="109">
        <v>8230.31</v>
      </c>
      <c r="S73" s="1"/>
    </row>
    <row r="74" spans="1:19" ht="15.95" customHeight="1" thickBot="1" x14ac:dyDescent="0.3">
      <c r="A74" s="192"/>
      <c r="B74" s="215" t="s">
        <v>44</v>
      </c>
      <c r="C74" s="231">
        <f>SUM(C64:C73)</f>
        <v>15058.93</v>
      </c>
      <c r="S74" s="1"/>
    </row>
    <row r="75" spans="1:19" ht="6" customHeight="1" thickBot="1" x14ac:dyDescent="0.3">
      <c r="A75" s="196"/>
      <c r="B75" s="216"/>
      <c r="C75" s="232"/>
      <c r="S75" s="1"/>
    </row>
    <row r="76" spans="1:19" ht="15.75" thickTop="1" x14ac:dyDescent="0.25">
      <c r="S76" s="1"/>
    </row>
    <row r="77" spans="1:19" x14ac:dyDescent="0.25">
      <c r="C77" s="233"/>
      <c r="S77" s="1"/>
    </row>
  </sheetData>
  <customSheetViews>
    <customSheetView guid="{C84F1237-6930-4835-8603-91455A7E0F8F}" scale="95" fitToPage="1" topLeftCell="A34">
      <selection activeCell="F9" sqref="F9"/>
      <pageMargins left="0.19685039370078741" right="0.19685039370078741" top="0.19685039370078741" bottom="0.59055118110236227" header="0.19685039370078741" footer="0.59055118110236227"/>
      <pageSetup paperSize="9" scale="62" orientation="landscape" horizontalDpi="0" verticalDpi="0" r:id="rId1"/>
    </customSheetView>
  </customSheetViews>
  <conditionalFormatting sqref="C47:N4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9:N4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4:N3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5:N3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3:N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6:N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/>
  <pageMargins left="0" right="0" top="0" bottom="0" header="0" footer="2.1653543307086616"/>
  <pageSetup paperSize="9" scale="53" orientation="landscape" horizontalDpi="0" verticalDpi="0" r:id="rId2"/>
  <headerFooter>
    <oddHeader>&amp;C&amp;A</oddHeader>
    <oddFooter>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">
    <pageSetUpPr fitToPage="1"/>
  </sheetPr>
  <dimension ref="A1:R60"/>
  <sheetViews>
    <sheetView zoomScale="87" zoomScaleNormal="87" workbookViewId="0">
      <selection activeCell="G56" sqref="G56"/>
    </sheetView>
  </sheetViews>
  <sheetFormatPr defaultRowHeight="15" x14ac:dyDescent="0.25"/>
  <cols>
    <col min="1" max="1" width="0.85546875" style="186" customWidth="1"/>
    <col min="2" max="2" width="35.140625" style="198" customWidth="1"/>
    <col min="3" max="17" width="12.7109375" style="186" customWidth="1"/>
    <col min="18" max="16384" width="9.140625" style="1"/>
  </cols>
  <sheetData>
    <row r="1" spans="1:17" ht="15.95" customHeight="1" thickBot="1" x14ac:dyDescent="0.3"/>
    <row r="2" spans="1:17" ht="15.95" customHeight="1" thickBot="1" x14ac:dyDescent="0.3">
      <c r="B2" s="295" t="s">
        <v>2</v>
      </c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7"/>
    </row>
    <row r="3" spans="1:17" ht="15.95" customHeight="1" thickBot="1" x14ac:dyDescent="0.3">
      <c r="B3" s="48" t="s">
        <v>1</v>
      </c>
      <c r="C3" s="93" t="s">
        <v>0</v>
      </c>
      <c r="D3" s="48" t="s">
        <v>14</v>
      </c>
      <c r="E3" s="46" t="s">
        <v>15</v>
      </c>
      <c r="F3" s="48" t="s">
        <v>16</v>
      </c>
      <c r="G3" s="48" t="s">
        <v>17</v>
      </c>
      <c r="H3" s="48" t="s">
        <v>18</v>
      </c>
      <c r="I3" s="48" t="s">
        <v>19</v>
      </c>
      <c r="J3" s="48" t="s">
        <v>20</v>
      </c>
      <c r="K3" s="48" t="s">
        <v>21</v>
      </c>
      <c r="L3" s="48" t="s">
        <v>22</v>
      </c>
      <c r="M3" s="48" t="s">
        <v>23</v>
      </c>
      <c r="N3" s="47" t="s">
        <v>24</v>
      </c>
      <c r="O3" s="96" t="s">
        <v>25</v>
      </c>
      <c r="P3" s="49" t="s">
        <v>26</v>
      </c>
      <c r="Q3" s="49" t="s">
        <v>27</v>
      </c>
    </row>
    <row r="4" spans="1:17" ht="15.95" customHeight="1" thickBot="1" x14ac:dyDescent="0.3">
      <c r="B4" s="110" t="s">
        <v>7</v>
      </c>
      <c r="C4" s="112">
        <v>10169.92</v>
      </c>
      <c r="D4" s="125">
        <v>3841.76</v>
      </c>
      <c r="E4" s="113">
        <v>7596.96</v>
      </c>
      <c r="F4" s="112"/>
      <c r="G4" s="114"/>
      <c r="H4" s="115"/>
      <c r="I4" s="112"/>
      <c r="J4" s="112"/>
      <c r="K4" s="112"/>
      <c r="L4" s="116"/>
      <c r="M4" s="117"/>
      <c r="N4" s="118"/>
      <c r="O4" s="119">
        <f>AVERAGE(B4:N4)</f>
        <v>7202.88</v>
      </c>
      <c r="P4" s="119">
        <f>SUM(C4:N4)</f>
        <v>21608.639999999999</v>
      </c>
      <c r="Q4" s="120">
        <f>MAX(C4:N4)</f>
        <v>10169.92</v>
      </c>
    </row>
    <row r="5" spans="1:17" ht="15.95" customHeight="1" thickBot="1" x14ac:dyDescent="0.3">
      <c r="B5" s="121" t="s">
        <v>8</v>
      </c>
      <c r="C5" s="123">
        <v>9536.2999999999993</v>
      </c>
      <c r="D5" s="125">
        <v>7063.49</v>
      </c>
      <c r="E5" s="124">
        <v>10551.06</v>
      </c>
      <c r="F5" s="123"/>
      <c r="G5" s="125"/>
      <c r="H5" s="123"/>
      <c r="I5" s="123"/>
      <c r="J5" s="123"/>
      <c r="K5" s="123"/>
      <c r="L5" s="125"/>
      <c r="M5" s="126"/>
      <c r="N5" s="117"/>
      <c r="O5" s="119">
        <f t="shared" ref="O5:O11" si="0">AVERAGE(B5:N5)</f>
        <v>9050.2833333333328</v>
      </c>
      <c r="P5" s="119">
        <f t="shared" ref="P5:P11" si="1">SUM(C5:N5)</f>
        <v>27150.85</v>
      </c>
      <c r="Q5" s="120">
        <f t="shared" ref="Q5:Q11" si="2">MAX(C5:N5)</f>
        <v>10551.06</v>
      </c>
    </row>
    <row r="6" spans="1:17" ht="15.95" customHeight="1" thickBot="1" x14ac:dyDescent="0.3">
      <c r="B6" s="121" t="s">
        <v>9</v>
      </c>
      <c r="C6" s="123">
        <v>7507.8</v>
      </c>
      <c r="D6" s="125">
        <v>6493.09</v>
      </c>
      <c r="E6" s="124">
        <v>6701.84</v>
      </c>
      <c r="F6" s="123"/>
      <c r="G6" s="125"/>
      <c r="H6" s="123"/>
      <c r="I6" s="123"/>
      <c r="J6" s="123"/>
      <c r="K6" s="123"/>
      <c r="L6" s="125"/>
      <c r="M6" s="129"/>
      <c r="N6" s="117"/>
      <c r="O6" s="119">
        <f t="shared" si="0"/>
        <v>6900.91</v>
      </c>
      <c r="P6" s="119">
        <f t="shared" si="1"/>
        <v>20702.73</v>
      </c>
      <c r="Q6" s="120">
        <f t="shared" si="2"/>
        <v>7507.8</v>
      </c>
    </row>
    <row r="7" spans="1:17" ht="15.95" customHeight="1" thickBot="1" x14ac:dyDescent="0.3">
      <c r="B7" s="131" t="s">
        <v>57</v>
      </c>
      <c r="C7" s="123">
        <v>194.65</v>
      </c>
      <c r="D7" s="125">
        <v>2217.6999999999998</v>
      </c>
      <c r="E7" s="124">
        <v>1164.93</v>
      </c>
      <c r="F7" s="123"/>
      <c r="G7" s="125"/>
      <c r="H7" s="123"/>
      <c r="I7" s="123"/>
      <c r="J7" s="123"/>
      <c r="K7" s="123"/>
      <c r="L7" s="125"/>
      <c r="M7" s="129"/>
      <c r="N7" s="134"/>
      <c r="O7" s="119">
        <f t="shared" si="0"/>
        <v>1192.4266666666665</v>
      </c>
      <c r="P7" s="119">
        <f t="shared" si="1"/>
        <v>3577.2799999999997</v>
      </c>
      <c r="Q7" s="120">
        <f t="shared" si="2"/>
        <v>2217.6999999999998</v>
      </c>
    </row>
    <row r="8" spans="1:17" ht="15.95" customHeight="1" thickBot="1" x14ac:dyDescent="0.3">
      <c r="B8" s="121" t="s">
        <v>10</v>
      </c>
      <c r="C8" s="123">
        <v>30042.959999999999</v>
      </c>
      <c r="D8" s="125"/>
      <c r="E8" s="124">
        <v>37955.31</v>
      </c>
      <c r="F8" s="123"/>
      <c r="G8" s="125"/>
      <c r="H8" s="123"/>
      <c r="I8" s="123"/>
      <c r="J8" s="123"/>
      <c r="K8" s="123"/>
      <c r="L8" s="125"/>
      <c r="M8" s="129"/>
      <c r="N8" s="117"/>
      <c r="O8" s="119">
        <f t="shared" si="0"/>
        <v>33999.134999999995</v>
      </c>
      <c r="P8" s="119">
        <f t="shared" si="1"/>
        <v>67998.26999999999</v>
      </c>
      <c r="Q8" s="120">
        <f t="shared" si="2"/>
        <v>37955.31</v>
      </c>
    </row>
    <row r="9" spans="1:17" ht="15.95" customHeight="1" thickBot="1" x14ac:dyDescent="0.3">
      <c r="B9" s="121" t="s">
        <v>11</v>
      </c>
      <c r="C9" s="273">
        <v>0</v>
      </c>
      <c r="D9" s="136"/>
      <c r="E9" s="124"/>
      <c r="F9" s="135"/>
      <c r="G9" s="136"/>
      <c r="H9" s="133"/>
      <c r="I9" s="123"/>
      <c r="J9" s="133"/>
      <c r="K9" s="133"/>
      <c r="L9" s="125"/>
      <c r="M9" s="137"/>
      <c r="N9" s="134"/>
      <c r="O9" s="119">
        <f t="shared" si="0"/>
        <v>0</v>
      </c>
      <c r="P9" s="119">
        <f t="shared" si="1"/>
        <v>0</v>
      </c>
      <c r="Q9" s="120">
        <f t="shared" si="2"/>
        <v>0</v>
      </c>
    </row>
    <row r="10" spans="1:17" ht="15.95" customHeight="1" thickBot="1" x14ac:dyDescent="0.3">
      <c r="B10" s="121" t="s">
        <v>12</v>
      </c>
      <c r="C10" s="123">
        <v>8300.33</v>
      </c>
      <c r="D10" s="125">
        <v>8222.64</v>
      </c>
      <c r="E10" s="124">
        <v>8580.2800000000007</v>
      </c>
      <c r="F10" s="138"/>
      <c r="G10" s="125"/>
      <c r="H10" s="139"/>
      <c r="I10" s="123"/>
      <c r="J10" s="123"/>
      <c r="K10" s="123"/>
      <c r="L10" s="125"/>
      <c r="M10" s="129"/>
      <c r="N10" s="117"/>
      <c r="O10" s="119">
        <f t="shared" si="0"/>
        <v>8367.75</v>
      </c>
      <c r="P10" s="119">
        <f t="shared" si="1"/>
        <v>25103.25</v>
      </c>
      <c r="Q10" s="120">
        <f t="shared" si="2"/>
        <v>8580.2800000000007</v>
      </c>
    </row>
    <row r="11" spans="1:17" ht="15.95" customHeight="1" thickBot="1" x14ac:dyDescent="0.3">
      <c r="B11" s="140" t="s">
        <v>13</v>
      </c>
      <c r="C11" s="142">
        <v>8967.0499999999993</v>
      </c>
      <c r="D11" s="87">
        <v>8329.0499999999993</v>
      </c>
      <c r="E11" s="143"/>
      <c r="F11" s="144"/>
      <c r="G11" s="87"/>
      <c r="H11" s="142"/>
      <c r="I11" s="142"/>
      <c r="J11" s="142"/>
      <c r="K11" s="142"/>
      <c r="L11" s="87"/>
      <c r="M11" s="145"/>
      <c r="N11" s="146"/>
      <c r="O11" s="119">
        <f t="shared" si="0"/>
        <v>8648.0499999999993</v>
      </c>
      <c r="P11" s="119">
        <f t="shared" si="1"/>
        <v>17296.099999999999</v>
      </c>
      <c r="Q11" s="120">
        <f t="shared" si="2"/>
        <v>8967.0499999999993</v>
      </c>
    </row>
    <row r="12" spans="1:17" ht="15.95" customHeight="1" thickBot="1" x14ac:dyDescent="0.3">
      <c r="B12" s="199" t="s">
        <v>26</v>
      </c>
      <c r="C12" s="270">
        <f>SUM(C4:C11)</f>
        <v>74719.010000000009</v>
      </c>
      <c r="D12" s="149">
        <f t="shared" ref="D12:Q12" si="3">SUM(D4:D11)</f>
        <v>36167.729999999996</v>
      </c>
      <c r="E12" s="149">
        <f t="shared" si="3"/>
        <v>72550.38</v>
      </c>
      <c r="F12" s="149">
        <f t="shared" si="3"/>
        <v>0</v>
      </c>
      <c r="G12" s="149">
        <f t="shared" si="3"/>
        <v>0</v>
      </c>
      <c r="H12" s="149">
        <f t="shared" si="3"/>
        <v>0</v>
      </c>
      <c r="I12" s="149">
        <f t="shared" si="3"/>
        <v>0</v>
      </c>
      <c r="J12" s="149">
        <f t="shared" si="3"/>
        <v>0</v>
      </c>
      <c r="K12" s="149">
        <f t="shared" si="3"/>
        <v>0</v>
      </c>
      <c r="L12" s="149">
        <f t="shared" si="3"/>
        <v>0</v>
      </c>
      <c r="M12" s="149">
        <f t="shared" si="3"/>
        <v>0</v>
      </c>
      <c r="N12" s="149">
        <f t="shared" si="3"/>
        <v>0</v>
      </c>
      <c r="O12" s="149">
        <f t="shared" si="3"/>
        <v>75361.434999999998</v>
      </c>
      <c r="P12" s="149">
        <f t="shared" si="3"/>
        <v>183437.12</v>
      </c>
      <c r="Q12" s="88">
        <f t="shared" si="3"/>
        <v>85949.119999999995</v>
      </c>
    </row>
    <row r="13" spans="1:17" s="15" customFormat="1" ht="15.95" customHeight="1" thickBot="1" x14ac:dyDescent="0.3">
      <c r="A13" s="188"/>
      <c r="B13" s="20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1"/>
    </row>
    <row r="14" spans="1:17" ht="15.95" customHeight="1" thickBot="1" x14ac:dyDescent="0.3">
      <c r="B14" s="298" t="s">
        <v>3</v>
      </c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  <c r="P14" s="299"/>
      <c r="Q14" s="300"/>
    </row>
    <row r="15" spans="1:17" ht="15.95" customHeight="1" thickBot="1" x14ac:dyDescent="0.3">
      <c r="B15" s="48" t="s">
        <v>1</v>
      </c>
      <c r="C15" s="93" t="s">
        <v>0</v>
      </c>
      <c r="D15" s="48" t="s">
        <v>14</v>
      </c>
      <c r="E15" s="46" t="s">
        <v>15</v>
      </c>
      <c r="F15" s="48" t="s">
        <v>16</v>
      </c>
      <c r="G15" s="48" t="s">
        <v>17</v>
      </c>
      <c r="H15" s="48" t="s">
        <v>18</v>
      </c>
      <c r="I15" s="48" t="s">
        <v>19</v>
      </c>
      <c r="J15" s="48" t="s">
        <v>20</v>
      </c>
      <c r="K15" s="48" t="s">
        <v>21</v>
      </c>
      <c r="L15" s="48" t="s">
        <v>22</v>
      </c>
      <c r="M15" s="48" t="s">
        <v>23</v>
      </c>
      <c r="N15" s="47" t="s">
        <v>24</v>
      </c>
      <c r="O15" s="49" t="s">
        <v>25</v>
      </c>
      <c r="P15" s="49" t="s">
        <v>26</v>
      </c>
      <c r="Q15" s="49" t="s">
        <v>27</v>
      </c>
    </row>
    <row r="16" spans="1:17" ht="15.95" customHeight="1" x14ac:dyDescent="0.25">
      <c r="B16" s="271" t="s">
        <v>7</v>
      </c>
      <c r="C16" s="112">
        <v>2383.56</v>
      </c>
      <c r="D16" s="116">
        <v>1758.1</v>
      </c>
      <c r="E16" s="153">
        <v>3691.57</v>
      </c>
      <c r="F16" s="112"/>
      <c r="G16" s="114"/>
      <c r="H16" s="115"/>
      <c r="I16" s="112"/>
      <c r="J16" s="112"/>
      <c r="K16" s="112"/>
      <c r="L16" s="126"/>
      <c r="M16" s="126"/>
      <c r="N16" s="118"/>
      <c r="O16" s="119">
        <f>AVERAGE(B16:N16)</f>
        <v>2611.0766666666664</v>
      </c>
      <c r="P16" s="119">
        <f>SUM(C16:N16)</f>
        <v>7833.23</v>
      </c>
      <c r="Q16" s="120">
        <f>MAX(C16:N16)</f>
        <v>3691.57</v>
      </c>
    </row>
    <row r="17" spans="1:18" ht="15.95" customHeight="1" x14ac:dyDescent="0.25">
      <c r="B17" s="121" t="s">
        <v>8</v>
      </c>
      <c r="C17" s="123">
        <v>6815.42</v>
      </c>
      <c r="D17" s="125">
        <v>4359.8100000000004</v>
      </c>
      <c r="E17" s="154">
        <v>5948.58</v>
      </c>
      <c r="F17" s="123"/>
      <c r="G17" s="125"/>
      <c r="H17" s="123"/>
      <c r="I17" s="123"/>
      <c r="J17" s="123"/>
      <c r="K17" s="123"/>
      <c r="L17" s="129"/>
      <c r="M17" s="129"/>
      <c r="N17" s="117"/>
      <c r="O17" s="127">
        <f t="shared" ref="O17:O22" si="4">AVERAGE(B17:N17)</f>
        <v>5707.9366666666656</v>
      </c>
      <c r="P17" s="127">
        <f t="shared" ref="P17:P22" si="5">SUM(C17:N17)</f>
        <v>17123.809999999998</v>
      </c>
      <c r="Q17" s="155">
        <f t="shared" ref="Q17:Q22" si="6">MAX(C17:N17)</f>
        <v>6815.42</v>
      </c>
    </row>
    <row r="18" spans="1:18" ht="15.95" customHeight="1" x14ac:dyDescent="0.25">
      <c r="B18" s="121" t="s">
        <v>9</v>
      </c>
      <c r="C18" s="123">
        <v>3420.57</v>
      </c>
      <c r="D18" s="125">
        <v>3790.56</v>
      </c>
      <c r="E18" s="154">
        <v>4666.8999999999996</v>
      </c>
      <c r="F18" s="123"/>
      <c r="G18" s="125"/>
      <c r="H18" s="123"/>
      <c r="I18" s="123"/>
      <c r="J18" s="123"/>
      <c r="K18" s="123"/>
      <c r="L18" s="129"/>
      <c r="M18" s="129"/>
      <c r="N18" s="117"/>
      <c r="O18" s="127">
        <f t="shared" si="4"/>
        <v>3959.3433333333328</v>
      </c>
      <c r="P18" s="127">
        <f t="shared" si="5"/>
        <v>11878.029999999999</v>
      </c>
      <c r="Q18" s="155">
        <f t="shared" si="6"/>
        <v>4666.8999999999996</v>
      </c>
    </row>
    <row r="19" spans="1:18" ht="15.95" customHeight="1" x14ac:dyDescent="0.25">
      <c r="B19" s="131" t="s">
        <v>57</v>
      </c>
      <c r="C19" s="123">
        <v>4132.54</v>
      </c>
      <c r="D19" s="125">
        <v>2439.87</v>
      </c>
      <c r="E19" s="154">
        <v>1165.32</v>
      </c>
      <c r="F19" s="123"/>
      <c r="G19" s="125"/>
      <c r="H19" s="123"/>
      <c r="I19" s="123"/>
      <c r="J19" s="123"/>
      <c r="K19" s="123"/>
      <c r="L19" s="129"/>
      <c r="M19" s="197"/>
      <c r="N19" s="134"/>
      <c r="O19" s="127">
        <f t="shared" si="4"/>
        <v>2579.2433333333333</v>
      </c>
      <c r="P19" s="127">
        <f t="shared" si="5"/>
        <v>7737.73</v>
      </c>
      <c r="Q19" s="155">
        <f t="shared" si="6"/>
        <v>4132.54</v>
      </c>
    </row>
    <row r="20" spans="1:18" ht="15.95" customHeight="1" x14ac:dyDescent="0.25">
      <c r="B20" s="121" t="s">
        <v>10</v>
      </c>
      <c r="C20" s="123">
        <v>12435.55</v>
      </c>
      <c r="D20" s="125">
        <v>8708.6200000000008</v>
      </c>
      <c r="E20" s="154">
        <v>11345.85</v>
      </c>
      <c r="F20" s="123"/>
      <c r="G20" s="125"/>
      <c r="H20" s="123"/>
      <c r="I20" s="123"/>
      <c r="J20" s="123"/>
      <c r="K20" s="123"/>
      <c r="L20" s="129"/>
      <c r="M20" s="129"/>
      <c r="N20" s="117"/>
      <c r="O20" s="127">
        <f t="shared" si="4"/>
        <v>10830.006666666666</v>
      </c>
      <c r="P20" s="127">
        <f t="shared" si="5"/>
        <v>32490.019999999997</v>
      </c>
      <c r="Q20" s="155">
        <f t="shared" si="6"/>
        <v>12435.55</v>
      </c>
    </row>
    <row r="21" spans="1:18" ht="15.95" customHeight="1" x14ac:dyDescent="0.25">
      <c r="B21" s="121" t="s">
        <v>11</v>
      </c>
      <c r="C21" s="123">
        <v>0</v>
      </c>
      <c r="D21" s="157"/>
      <c r="E21" s="154"/>
      <c r="F21" s="135"/>
      <c r="G21" s="136"/>
      <c r="H21" s="133"/>
      <c r="I21" s="133"/>
      <c r="J21" s="133"/>
      <c r="K21" s="135"/>
      <c r="L21" s="158"/>
      <c r="M21" s="158"/>
      <c r="N21" s="134"/>
      <c r="O21" s="127">
        <f t="shared" si="4"/>
        <v>0</v>
      </c>
      <c r="P21" s="127">
        <f t="shared" si="5"/>
        <v>0</v>
      </c>
      <c r="Q21" s="155">
        <f t="shared" si="6"/>
        <v>0</v>
      </c>
    </row>
    <row r="22" spans="1:18" ht="15.95" customHeight="1" thickBot="1" x14ac:dyDescent="0.3">
      <c r="B22" s="140" t="s">
        <v>13</v>
      </c>
      <c r="C22" s="142">
        <v>3240.98</v>
      </c>
      <c r="D22" s="160"/>
      <c r="E22" s="161"/>
      <c r="F22" s="144"/>
      <c r="G22" s="87"/>
      <c r="H22" s="142"/>
      <c r="I22" s="142"/>
      <c r="J22" s="142"/>
      <c r="K22" s="144"/>
      <c r="L22" s="162"/>
      <c r="M22" s="162"/>
      <c r="N22" s="146"/>
      <c r="O22" s="147">
        <f t="shared" si="4"/>
        <v>3240.98</v>
      </c>
      <c r="P22" s="147">
        <f t="shared" si="5"/>
        <v>3240.98</v>
      </c>
      <c r="Q22" s="148">
        <f t="shared" si="6"/>
        <v>3240.98</v>
      </c>
    </row>
    <row r="23" spans="1:18" ht="15.95" customHeight="1" thickBot="1" x14ac:dyDescent="0.3">
      <c r="B23" s="199" t="s">
        <v>26</v>
      </c>
      <c r="C23" s="270">
        <f>SUM(C16:C22)</f>
        <v>32428.62</v>
      </c>
      <c r="D23" s="149">
        <f t="shared" ref="D23:Q23" si="7">SUM(D16:D22)</f>
        <v>21056.959999999999</v>
      </c>
      <c r="E23" s="149">
        <f t="shared" si="7"/>
        <v>26818.22</v>
      </c>
      <c r="F23" s="149">
        <f t="shared" si="7"/>
        <v>0</v>
      </c>
      <c r="G23" s="149">
        <f t="shared" si="7"/>
        <v>0</v>
      </c>
      <c r="H23" s="149">
        <f t="shared" si="7"/>
        <v>0</v>
      </c>
      <c r="I23" s="149">
        <f t="shared" si="7"/>
        <v>0</v>
      </c>
      <c r="J23" s="149">
        <f t="shared" si="7"/>
        <v>0</v>
      </c>
      <c r="K23" s="149">
        <f t="shared" si="7"/>
        <v>0</v>
      </c>
      <c r="L23" s="149">
        <f t="shared" si="7"/>
        <v>0</v>
      </c>
      <c r="M23" s="149">
        <f t="shared" si="7"/>
        <v>0</v>
      </c>
      <c r="N23" s="149">
        <f t="shared" si="7"/>
        <v>0</v>
      </c>
      <c r="O23" s="149">
        <f t="shared" si="7"/>
        <v>28928.586666666666</v>
      </c>
      <c r="P23" s="149">
        <f t="shared" si="7"/>
        <v>80303.799999999974</v>
      </c>
      <c r="Q23" s="88">
        <f t="shared" si="7"/>
        <v>34982.959999999999</v>
      </c>
    </row>
    <row r="24" spans="1:18" s="15" customFormat="1" ht="15.95" customHeight="1" thickBot="1" x14ac:dyDescent="0.3">
      <c r="A24" s="189"/>
      <c r="B24" s="20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6"/>
    </row>
    <row r="25" spans="1:18" ht="15.95" customHeight="1" thickBot="1" x14ac:dyDescent="0.3">
      <c r="B25" s="295" t="s">
        <v>4</v>
      </c>
      <c r="C25" s="296"/>
      <c r="D25" s="296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7"/>
    </row>
    <row r="26" spans="1:18" ht="15.95" customHeight="1" thickBot="1" x14ac:dyDescent="0.3">
      <c r="B26" s="48" t="s">
        <v>1</v>
      </c>
      <c r="C26" s="93" t="s">
        <v>0</v>
      </c>
      <c r="D26" s="48" t="s">
        <v>14</v>
      </c>
      <c r="E26" s="46" t="s">
        <v>15</v>
      </c>
      <c r="F26" s="48" t="s">
        <v>16</v>
      </c>
      <c r="G26" s="48" t="s">
        <v>17</v>
      </c>
      <c r="H26" s="48" t="s">
        <v>18</v>
      </c>
      <c r="I26" s="48" t="s">
        <v>19</v>
      </c>
      <c r="J26" s="48" t="s">
        <v>20</v>
      </c>
      <c r="K26" s="48" t="s">
        <v>21</v>
      </c>
      <c r="L26" s="48" t="s">
        <v>22</v>
      </c>
      <c r="M26" s="48" t="s">
        <v>23</v>
      </c>
      <c r="N26" s="47" t="s">
        <v>24</v>
      </c>
      <c r="O26" s="49" t="s">
        <v>25</v>
      </c>
      <c r="P26" s="49" t="s">
        <v>26</v>
      </c>
      <c r="Q26" s="49" t="s">
        <v>27</v>
      </c>
    </row>
    <row r="27" spans="1:18" ht="15.95" customHeight="1" x14ac:dyDescent="0.25">
      <c r="B27" s="271" t="s">
        <v>7</v>
      </c>
      <c r="C27" s="112">
        <v>5332.62</v>
      </c>
      <c r="D27" s="116">
        <v>2246.65</v>
      </c>
      <c r="E27" s="153">
        <v>5436.99</v>
      </c>
      <c r="F27" s="112"/>
      <c r="G27" s="114"/>
      <c r="H27" s="115"/>
      <c r="I27" s="112"/>
      <c r="J27" s="112"/>
      <c r="K27" s="112"/>
      <c r="L27" s="116"/>
      <c r="M27" s="126"/>
      <c r="N27" s="118"/>
      <c r="O27" s="119">
        <f>AVERAGE(B27:N27)</f>
        <v>4338.7533333333331</v>
      </c>
      <c r="P27" s="119">
        <f>SUM(C27:N27)</f>
        <v>13016.26</v>
      </c>
      <c r="Q27" s="120">
        <f>MAX(C27:N27)</f>
        <v>5436.99</v>
      </c>
    </row>
    <row r="28" spans="1:18" ht="15.95" customHeight="1" x14ac:dyDescent="0.25">
      <c r="B28" s="121" t="s">
        <v>8</v>
      </c>
      <c r="C28" s="123">
        <v>5124.01</v>
      </c>
      <c r="D28" s="125">
        <v>4254.28</v>
      </c>
      <c r="E28" s="154">
        <v>6365.68</v>
      </c>
      <c r="F28" s="123"/>
      <c r="G28" s="125"/>
      <c r="H28" s="123"/>
      <c r="I28" s="123"/>
      <c r="J28" s="123"/>
      <c r="K28" s="123"/>
      <c r="L28" s="125"/>
      <c r="M28" s="129"/>
      <c r="N28" s="117"/>
      <c r="O28" s="127">
        <f t="shared" ref="O28:O33" si="8">AVERAGE(B28:N28)</f>
        <v>5247.9900000000007</v>
      </c>
      <c r="P28" s="127">
        <f t="shared" ref="P28:P33" si="9">SUM(C28:N28)</f>
        <v>15743.970000000001</v>
      </c>
      <c r="Q28" s="155">
        <f t="shared" ref="Q28:Q33" si="10">MAX(C28:N28)</f>
        <v>6365.68</v>
      </c>
    </row>
    <row r="29" spans="1:18" ht="15.95" customHeight="1" x14ac:dyDescent="0.25">
      <c r="B29" s="121" t="s">
        <v>9</v>
      </c>
      <c r="C29" s="123">
        <v>1948.35</v>
      </c>
      <c r="D29" s="125">
        <v>2791.7</v>
      </c>
      <c r="E29" s="154">
        <v>3265.58</v>
      </c>
      <c r="F29" s="123"/>
      <c r="G29" s="125"/>
      <c r="H29" s="123"/>
      <c r="I29" s="123"/>
      <c r="J29" s="123"/>
      <c r="K29" s="123"/>
      <c r="L29" s="125"/>
      <c r="M29" s="129"/>
      <c r="N29" s="117"/>
      <c r="O29" s="127">
        <f t="shared" si="8"/>
        <v>2668.5433333333331</v>
      </c>
      <c r="P29" s="127">
        <f t="shared" si="9"/>
        <v>8005.6299999999992</v>
      </c>
      <c r="Q29" s="155">
        <f t="shared" si="10"/>
        <v>3265.58</v>
      </c>
    </row>
    <row r="30" spans="1:18" ht="15.95" customHeight="1" x14ac:dyDescent="0.25">
      <c r="B30" s="131" t="s">
        <v>57</v>
      </c>
      <c r="C30" s="123">
        <v>0</v>
      </c>
      <c r="D30" s="136"/>
      <c r="E30" s="124"/>
      <c r="F30" s="184"/>
      <c r="G30" s="136"/>
      <c r="H30" s="123"/>
      <c r="I30" s="123"/>
      <c r="J30" s="133"/>
      <c r="K30" s="123"/>
      <c r="L30" s="136"/>
      <c r="M30" s="129"/>
      <c r="N30" s="134"/>
      <c r="O30" s="127">
        <f t="shared" si="8"/>
        <v>0</v>
      </c>
      <c r="P30" s="127">
        <f t="shared" si="9"/>
        <v>0</v>
      </c>
      <c r="Q30" s="155">
        <f t="shared" si="10"/>
        <v>0</v>
      </c>
    </row>
    <row r="31" spans="1:18" ht="15.95" customHeight="1" x14ac:dyDescent="0.25">
      <c r="B31" s="121" t="s">
        <v>10</v>
      </c>
      <c r="C31" s="123" t="s">
        <v>74</v>
      </c>
      <c r="D31" s="125">
        <v>12274.44</v>
      </c>
      <c r="E31" s="154">
        <v>16601.97</v>
      </c>
      <c r="F31" s="123"/>
      <c r="G31" s="125"/>
      <c r="H31" s="123"/>
      <c r="I31" s="123"/>
      <c r="J31" s="123"/>
      <c r="K31" s="123"/>
      <c r="L31" s="125"/>
      <c r="M31" s="129"/>
      <c r="N31" s="117"/>
      <c r="O31" s="127">
        <f t="shared" si="8"/>
        <v>14438.205000000002</v>
      </c>
      <c r="P31" s="127">
        <f t="shared" si="9"/>
        <v>28876.410000000003</v>
      </c>
      <c r="Q31" s="155">
        <f t="shared" si="10"/>
        <v>16601.97</v>
      </c>
    </row>
    <row r="32" spans="1:18" ht="15.95" customHeight="1" x14ac:dyDescent="0.25">
      <c r="B32" s="121" t="s">
        <v>11</v>
      </c>
      <c r="C32" s="123">
        <v>828</v>
      </c>
      <c r="D32" s="136">
        <v>110.4</v>
      </c>
      <c r="E32" s="154">
        <v>224.59</v>
      </c>
      <c r="F32" s="123"/>
      <c r="G32" s="136"/>
      <c r="H32" s="133"/>
      <c r="I32" s="133"/>
      <c r="J32" s="133"/>
      <c r="K32" s="135"/>
      <c r="L32" s="164"/>
      <c r="M32" s="158"/>
      <c r="N32" s="165"/>
      <c r="O32" s="127">
        <f t="shared" si="8"/>
        <v>387.66333333333336</v>
      </c>
      <c r="P32" s="127">
        <f t="shared" si="9"/>
        <v>1162.99</v>
      </c>
      <c r="Q32" s="155">
        <f t="shared" si="10"/>
        <v>828</v>
      </c>
    </row>
    <row r="33" spans="1:18" ht="15.95" customHeight="1" thickBot="1" x14ac:dyDescent="0.3">
      <c r="B33" s="140" t="s">
        <v>13</v>
      </c>
      <c r="C33" s="142">
        <v>3874.55</v>
      </c>
      <c r="D33" s="87">
        <v>1298.53</v>
      </c>
      <c r="E33" s="161">
        <v>2452.38</v>
      </c>
      <c r="F33" s="144"/>
      <c r="G33" s="87"/>
      <c r="H33" s="142"/>
      <c r="I33" s="142"/>
      <c r="J33" s="142"/>
      <c r="K33" s="144"/>
      <c r="L33" s="87"/>
      <c r="M33" s="162"/>
      <c r="N33" s="146"/>
      <c r="O33" s="147">
        <f t="shared" si="8"/>
        <v>2541.8200000000002</v>
      </c>
      <c r="P33" s="147">
        <f t="shared" si="9"/>
        <v>7625.46</v>
      </c>
      <c r="Q33" s="148">
        <f t="shared" si="10"/>
        <v>3874.55</v>
      </c>
    </row>
    <row r="34" spans="1:18" ht="15.95" customHeight="1" thickBot="1" x14ac:dyDescent="0.3">
      <c r="B34" s="199" t="s">
        <v>26</v>
      </c>
      <c r="C34" s="270">
        <f>SUM(C27:C33)</f>
        <v>17107.530000000002</v>
      </c>
      <c r="D34" s="149">
        <f t="shared" ref="D34:Q34" si="11">SUM(D27:D33)</f>
        <v>22976</v>
      </c>
      <c r="E34" s="149">
        <f t="shared" si="11"/>
        <v>34347.19</v>
      </c>
      <c r="F34" s="149">
        <f t="shared" si="11"/>
        <v>0</v>
      </c>
      <c r="G34" s="149">
        <f t="shared" si="11"/>
        <v>0</v>
      </c>
      <c r="H34" s="149">
        <f t="shared" si="11"/>
        <v>0</v>
      </c>
      <c r="I34" s="149">
        <f t="shared" si="11"/>
        <v>0</v>
      </c>
      <c r="J34" s="149">
        <f t="shared" si="11"/>
        <v>0</v>
      </c>
      <c r="K34" s="149">
        <f t="shared" si="11"/>
        <v>0</v>
      </c>
      <c r="L34" s="149">
        <f t="shared" si="11"/>
        <v>0</v>
      </c>
      <c r="M34" s="149">
        <f t="shared" si="11"/>
        <v>0</v>
      </c>
      <c r="N34" s="149">
        <f t="shared" si="11"/>
        <v>0</v>
      </c>
      <c r="O34" s="149">
        <f t="shared" si="11"/>
        <v>29622.975000000002</v>
      </c>
      <c r="P34" s="149">
        <f t="shared" si="11"/>
        <v>74430.720000000016</v>
      </c>
      <c r="Q34" s="88">
        <f t="shared" si="11"/>
        <v>36372.770000000004</v>
      </c>
    </row>
    <row r="35" spans="1:18" s="15" customFormat="1" ht="15.95" customHeight="1" thickBot="1" x14ac:dyDescent="0.3">
      <c r="A35" s="189"/>
      <c r="B35" s="20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6"/>
    </row>
    <row r="36" spans="1:18" ht="15.95" customHeight="1" thickBot="1" x14ac:dyDescent="0.3">
      <c r="B36" s="295" t="s">
        <v>5</v>
      </c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296"/>
      <c r="P36" s="296"/>
      <c r="Q36" s="297"/>
    </row>
    <row r="37" spans="1:18" ht="15.95" customHeight="1" thickBot="1" x14ac:dyDescent="0.3">
      <c r="B37" s="48" t="s">
        <v>1</v>
      </c>
      <c r="C37" s="93" t="s">
        <v>0</v>
      </c>
      <c r="D37" s="48" t="s">
        <v>14</v>
      </c>
      <c r="E37" s="46" t="s">
        <v>15</v>
      </c>
      <c r="F37" s="48" t="s">
        <v>16</v>
      </c>
      <c r="G37" s="48" t="s">
        <v>17</v>
      </c>
      <c r="H37" s="48" t="s">
        <v>18</v>
      </c>
      <c r="I37" s="48" t="s">
        <v>19</v>
      </c>
      <c r="J37" s="48" t="s">
        <v>20</v>
      </c>
      <c r="K37" s="48" t="s">
        <v>21</v>
      </c>
      <c r="L37" s="48" t="s">
        <v>22</v>
      </c>
      <c r="M37" s="48" t="s">
        <v>23</v>
      </c>
      <c r="N37" s="47" t="s">
        <v>24</v>
      </c>
      <c r="O37" s="49" t="s">
        <v>25</v>
      </c>
      <c r="P37" s="49" t="s">
        <v>26</v>
      </c>
      <c r="Q37" s="49" t="s">
        <v>27</v>
      </c>
    </row>
    <row r="38" spans="1:18" ht="15.95" customHeight="1" x14ac:dyDescent="0.25">
      <c r="B38" s="271" t="s">
        <v>7</v>
      </c>
      <c r="C38" s="112">
        <v>4978.54</v>
      </c>
      <c r="D38" s="116">
        <v>5120.92</v>
      </c>
      <c r="E38" s="153">
        <v>3955.25</v>
      </c>
      <c r="F38" s="112"/>
      <c r="G38" s="114"/>
      <c r="H38" s="115"/>
      <c r="I38" s="112"/>
      <c r="J38" s="112"/>
      <c r="K38" s="112"/>
      <c r="L38" s="116"/>
      <c r="M38" s="126"/>
      <c r="N38" s="118"/>
      <c r="O38" s="119">
        <f>AVERAGE(B38:N38)</f>
        <v>4684.9033333333327</v>
      </c>
      <c r="P38" s="119">
        <f>SUM(C38:N38)</f>
        <v>14054.71</v>
      </c>
      <c r="Q38" s="120">
        <f>MAX(C38:N38)</f>
        <v>5120.92</v>
      </c>
    </row>
    <row r="39" spans="1:18" ht="15.95" customHeight="1" x14ac:dyDescent="0.25">
      <c r="B39" s="121" t="s">
        <v>8</v>
      </c>
      <c r="C39" s="123">
        <v>4415.91</v>
      </c>
      <c r="D39" s="125"/>
      <c r="E39" s="154">
        <v>5020.26</v>
      </c>
      <c r="F39" s="123"/>
      <c r="G39" s="125"/>
      <c r="H39" s="123"/>
      <c r="I39" s="123"/>
      <c r="J39" s="123"/>
      <c r="K39" s="123"/>
      <c r="L39" s="125"/>
      <c r="M39" s="129"/>
      <c r="N39" s="117"/>
      <c r="O39" s="127">
        <f t="shared" ref="O39:O44" si="12">AVERAGE(B39:N39)</f>
        <v>4718.085</v>
      </c>
      <c r="P39" s="127">
        <f t="shared" ref="P39:P44" si="13">SUM(C39:N39)</f>
        <v>9436.17</v>
      </c>
      <c r="Q39" s="155">
        <f t="shared" ref="Q39:Q44" si="14">MAX(C39:N39)</f>
        <v>5020.26</v>
      </c>
    </row>
    <row r="40" spans="1:18" ht="15.95" customHeight="1" x14ac:dyDescent="0.25">
      <c r="B40" s="121" t="s">
        <v>9</v>
      </c>
      <c r="C40" s="123">
        <v>5465.7</v>
      </c>
      <c r="D40" s="125">
        <v>6399.23</v>
      </c>
      <c r="E40" s="154">
        <v>5179.47</v>
      </c>
      <c r="F40" s="123"/>
      <c r="G40" s="125"/>
      <c r="H40" s="123"/>
      <c r="I40" s="123"/>
      <c r="J40" s="123"/>
      <c r="K40" s="123"/>
      <c r="L40" s="125"/>
      <c r="M40" s="129"/>
      <c r="N40" s="117"/>
      <c r="O40" s="127">
        <f t="shared" si="12"/>
        <v>5681.4666666666672</v>
      </c>
      <c r="P40" s="127">
        <f t="shared" si="13"/>
        <v>17044.400000000001</v>
      </c>
      <c r="Q40" s="155">
        <f t="shared" si="14"/>
        <v>6399.23</v>
      </c>
    </row>
    <row r="41" spans="1:18" ht="15.95" customHeight="1" x14ac:dyDescent="0.25">
      <c r="B41" s="131" t="s">
        <v>57</v>
      </c>
      <c r="C41" s="123">
        <v>0</v>
      </c>
      <c r="D41" s="125">
        <v>645.54</v>
      </c>
      <c r="E41" s="166">
        <v>5495.32</v>
      </c>
      <c r="F41" s="185"/>
      <c r="G41" s="125"/>
      <c r="H41" s="123"/>
      <c r="I41" s="123"/>
      <c r="J41" s="123"/>
      <c r="K41" s="138"/>
      <c r="L41" s="136"/>
      <c r="M41" s="129"/>
      <c r="N41" s="134"/>
      <c r="O41" s="127">
        <f t="shared" si="12"/>
        <v>2046.9533333333331</v>
      </c>
      <c r="P41" s="127">
        <f t="shared" si="13"/>
        <v>6140.86</v>
      </c>
      <c r="Q41" s="155">
        <f t="shared" si="14"/>
        <v>5495.32</v>
      </c>
    </row>
    <row r="42" spans="1:18" ht="15.95" customHeight="1" x14ac:dyDescent="0.25">
      <c r="B42" s="121" t="s">
        <v>10</v>
      </c>
      <c r="C42" s="123">
        <v>2625.98</v>
      </c>
      <c r="D42" s="125">
        <v>2496.98</v>
      </c>
      <c r="E42" s="166">
        <v>3005.47</v>
      </c>
      <c r="F42" s="125"/>
      <c r="G42" s="125"/>
      <c r="H42" s="123"/>
      <c r="I42" s="123"/>
      <c r="J42" s="123"/>
      <c r="K42" s="123"/>
      <c r="L42" s="125"/>
      <c r="M42" s="129"/>
      <c r="N42" s="134"/>
      <c r="O42" s="127">
        <f t="shared" si="12"/>
        <v>2709.4766666666669</v>
      </c>
      <c r="P42" s="127">
        <f t="shared" si="13"/>
        <v>8128.43</v>
      </c>
      <c r="Q42" s="155">
        <f t="shared" si="14"/>
        <v>3005.47</v>
      </c>
    </row>
    <row r="43" spans="1:18" ht="15.95" customHeight="1" x14ac:dyDescent="0.25">
      <c r="B43" s="121" t="s">
        <v>11</v>
      </c>
      <c r="C43" s="123">
        <v>0</v>
      </c>
      <c r="D43" s="136"/>
      <c r="E43" s="154"/>
      <c r="F43" s="167"/>
      <c r="G43" s="164"/>
      <c r="H43" s="133"/>
      <c r="I43" s="168"/>
      <c r="J43" s="168"/>
      <c r="K43" s="138"/>
      <c r="L43" s="169"/>
      <c r="M43" s="170"/>
      <c r="N43" s="171"/>
      <c r="O43" s="127">
        <f t="shared" si="12"/>
        <v>0</v>
      </c>
      <c r="P43" s="127">
        <f t="shared" si="13"/>
        <v>0</v>
      </c>
      <c r="Q43" s="155">
        <f t="shared" si="14"/>
        <v>0</v>
      </c>
    </row>
    <row r="44" spans="1:18" ht="15.95" customHeight="1" thickBot="1" x14ac:dyDescent="0.3">
      <c r="B44" s="140" t="s">
        <v>13</v>
      </c>
      <c r="C44" s="142">
        <v>3142.51</v>
      </c>
      <c r="D44" s="160"/>
      <c r="E44" s="161"/>
      <c r="F44" s="142"/>
      <c r="G44" s="172"/>
      <c r="H44" s="173"/>
      <c r="I44" s="142"/>
      <c r="J44" s="142"/>
      <c r="K44" s="173"/>
      <c r="L44" s="142"/>
      <c r="M44" s="174"/>
      <c r="N44" s="175"/>
      <c r="O44" s="147">
        <f t="shared" si="12"/>
        <v>3142.51</v>
      </c>
      <c r="P44" s="147">
        <f t="shared" si="13"/>
        <v>3142.51</v>
      </c>
      <c r="Q44" s="148">
        <f t="shared" si="14"/>
        <v>3142.51</v>
      </c>
    </row>
    <row r="45" spans="1:18" ht="15.95" customHeight="1" thickBot="1" x14ac:dyDescent="0.3">
      <c r="B45" s="199" t="s">
        <v>26</v>
      </c>
      <c r="C45" s="274">
        <f>SUM(C38:C44)</f>
        <v>20628.64</v>
      </c>
      <c r="D45" s="149">
        <f t="shared" ref="D45:Q45" si="15">SUM(D38:D44)</f>
        <v>14662.669999999998</v>
      </c>
      <c r="E45" s="149">
        <f t="shared" si="15"/>
        <v>22655.77</v>
      </c>
      <c r="F45" s="149">
        <f t="shared" si="15"/>
        <v>0</v>
      </c>
      <c r="G45" s="149">
        <f t="shared" si="15"/>
        <v>0</v>
      </c>
      <c r="H45" s="149">
        <f t="shared" si="15"/>
        <v>0</v>
      </c>
      <c r="I45" s="149">
        <f t="shared" si="15"/>
        <v>0</v>
      </c>
      <c r="J45" s="149">
        <f t="shared" si="15"/>
        <v>0</v>
      </c>
      <c r="K45" s="149">
        <f t="shared" si="15"/>
        <v>0</v>
      </c>
      <c r="L45" s="149">
        <f t="shared" si="15"/>
        <v>0</v>
      </c>
      <c r="M45" s="149">
        <f t="shared" si="15"/>
        <v>0</v>
      </c>
      <c r="N45" s="149">
        <f t="shared" si="15"/>
        <v>0</v>
      </c>
      <c r="O45" s="149">
        <f t="shared" si="15"/>
        <v>22983.394999999997</v>
      </c>
      <c r="P45" s="149">
        <f t="shared" si="15"/>
        <v>57947.08</v>
      </c>
      <c r="Q45" s="88">
        <f t="shared" si="15"/>
        <v>28183.71</v>
      </c>
    </row>
    <row r="46" spans="1:18" ht="15.95" customHeight="1" thickBot="1" x14ac:dyDescent="0.3"/>
    <row r="47" spans="1:18" ht="15.95" customHeight="1" thickBot="1" x14ac:dyDescent="0.3">
      <c r="B47" s="301" t="s">
        <v>73</v>
      </c>
      <c r="C47" s="302"/>
      <c r="D47" s="302"/>
      <c r="E47" s="302"/>
      <c r="F47" s="302"/>
      <c r="G47" s="302"/>
      <c r="H47" s="302"/>
      <c r="I47" s="302"/>
      <c r="J47" s="302"/>
      <c r="K47" s="302"/>
      <c r="L47" s="302"/>
      <c r="M47" s="302"/>
      <c r="N47" s="302"/>
      <c r="O47" s="302"/>
      <c r="P47" s="302"/>
      <c r="Q47" s="303"/>
    </row>
    <row r="48" spans="1:18" ht="15.95" customHeight="1" thickBot="1" x14ac:dyDescent="0.3">
      <c r="B48" s="48" t="s">
        <v>1</v>
      </c>
      <c r="C48" s="93" t="s">
        <v>0</v>
      </c>
      <c r="D48" s="94" t="s">
        <v>14</v>
      </c>
      <c r="E48" s="95" t="s">
        <v>15</v>
      </c>
      <c r="F48" s="94" t="s">
        <v>16</v>
      </c>
      <c r="G48" s="94" t="s">
        <v>17</v>
      </c>
      <c r="H48" s="94" t="s">
        <v>18</v>
      </c>
      <c r="I48" s="94" t="s">
        <v>19</v>
      </c>
      <c r="J48" s="94" t="s">
        <v>20</v>
      </c>
      <c r="K48" s="94" t="s">
        <v>21</v>
      </c>
      <c r="L48" s="94" t="s">
        <v>22</v>
      </c>
      <c r="M48" s="94" t="s">
        <v>23</v>
      </c>
      <c r="N48" s="93" t="s">
        <v>24</v>
      </c>
      <c r="O48" s="96" t="s">
        <v>25</v>
      </c>
      <c r="P48" s="96" t="s">
        <v>26</v>
      </c>
      <c r="Q48" s="96" t="s">
        <v>27</v>
      </c>
    </row>
    <row r="49" spans="2:17" ht="15.95" customHeight="1" thickBot="1" x14ac:dyDescent="0.3">
      <c r="B49" s="140" t="s">
        <v>13</v>
      </c>
      <c r="C49" s="176">
        <v>3164.22</v>
      </c>
      <c r="D49" s="272">
        <v>5995.3</v>
      </c>
      <c r="E49" s="178"/>
      <c r="F49" s="179"/>
      <c r="G49" s="180"/>
      <c r="H49" s="181"/>
      <c r="I49" s="181"/>
      <c r="J49" s="181"/>
      <c r="K49" s="179"/>
      <c r="L49" s="179"/>
      <c r="M49" s="179"/>
      <c r="N49" s="187"/>
      <c r="O49" s="182"/>
      <c r="P49" s="182"/>
      <c r="Q49" s="183"/>
    </row>
    <row r="50" spans="2:17" ht="15.95" customHeight="1" thickBot="1" x14ac:dyDescent="0.3"/>
    <row r="51" spans="2:17" ht="15.95" customHeight="1" thickBot="1" x14ac:dyDescent="0.3">
      <c r="B51" s="295" t="s">
        <v>55</v>
      </c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6"/>
      <c r="P51" s="296"/>
      <c r="Q51" s="297"/>
    </row>
    <row r="52" spans="2:17" ht="15.95" customHeight="1" thickBot="1" x14ac:dyDescent="0.3">
      <c r="B52" s="48" t="s">
        <v>1</v>
      </c>
      <c r="C52" s="93" t="s">
        <v>0</v>
      </c>
      <c r="D52" s="48" t="s">
        <v>14</v>
      </c>
      <c r="E52" s="46" t="s">
        <v>15</v>
      </c>
      <c r="F52" s="48" t="s">
        <v>16</v>
      </c>
      <c r="G52" s="48" t="s">
        <v>17</v>
      </c>
      <c r="H52" s="48" t="s">
        <v>18</v>
      </c>
      <c r="I52" s="48" t="s">
        <v>19</v>
      </c>
      <c r="J52" s="48" t="s">
        <v>20</v>
      </c>
      <c r="K52" s="48" t="s">
        <v>21</v>
      </c>
      <c r="L52" s="48" t="s">
        <v>22</v>
      </c>
      <c r="M52" s="48" t="s">
        <v>23</v>
      </c>
      <c r="N52" s="47" t="s">
        <v>24</v>
      </c>
      <c r="O52" s="49" t="s">
        <v>25</v>
      </c>
      <c r="P52" s="49" t="s">
        <v>26</v>
      </c>
      <c r="Q52" s="49" t="s">
        <v>27</v>
      </c>
    </row>
    <row r="53" spans="2:17" ht="15.95" customHeight="1" x14ac:dyDescent="0.25">
      <c r="B53" s="271" t="s">
        <v>7</v>
      </c>
      <c r="C53" s="112">
        <v>5379.1</v>
      </c>
      <c r="D53" s="116">
        <v>5480.71</v>
      </c>
      <c r="E53" s="294">
        <v>12739.59</v>
      </c>
      <c r="F53" s="112"/>
      <c r="G53" s="114"/>
      <c r="H53" s="115"/>
      <c r="I53" s="112"/>
      <c r="J53" s="112"/>
      <c r="K53" s="112"/>
      <c r="L53" s="116"/>
      <c r="M53" s="126"/>
      <c r="N53" s="118"/>
      <c r="O53" s="119">
        <f>AVERAGE(B53:N53)</f>
        <v>7866.4666666666672</v>
      </c>
      <c r="P53" s="119">
        <f>SUM(C53:N53)</f>
        <v>23599.4</v>
      </c>
      <c r="Q53" s="120">
        <f>MAX(C53:N53)</f>
        <v>12739.59</v>
      </c>
    </row>
    <row r="54" spans="2:17" ht="15.95" customHeight="1" x14ac:dyDescent="0.25">
      <c r="B54" s="121" t="s">
        <v>8</v>
      </c>
      <c r="C54" s="123">
        <v>9776.2199999999993</v>
      </c>
      <c r="D54" s="125">
        <v>2239.98</v>
      </c>
      <c r="E54" s="154">
        <v>5259.47</v>
      </c>
      <c r="F54" s="123"/>
      <c r="G54" s="125"/>
      <c r="H54" s="123"/>
      <c r="I54" s="123"/>
      <c r="J54" s="123"/>
      <c r="K54" s="123"/>
      <c r="L54" s="125"/>
      <c r="M54" s="129"/>
      <c r="N54" s="117"/>
      <c r="O54" s="127">
        <f t="shared" ref="O54:O59" si="16">AVERAGE(B54:N54)</f>
        <v>5758.5566666666664</v>
      </c>
      <c r="P54" s="127">
        <f t="shared" ref="P54:P59" si="17">SUM(C54:N54)</f>
        <v>17275.669999999998</v>
      </c>
      <c r="Q54" s="155">
        <f t="shared" ref="Q54:Q59" si="18">MAX(C54:N54)</f>
        <v>9776.2199999999993</v>
      </c>
    </row>
    <row r="55" spans="2:17" ht="15.95" customHeight="1" x14ac:dyDescent="0.25">
      <c r="B55" s="121" t="s">
        <v>9</v>
      </c>
      <c r="C55" s="123">
        <v>386.92</v>
      </c>
      <c r="D55" s="125">
        <v>7112.39</v>
      </c>
      <c r="E55" s="154">
        <v>4179.1899999999996</v>
      </c>
      <c r="F55" s="123"/>
      <c r="G55" s="125"/>
      <c r="H55" s="123"/>
      <c r="I55" s="123"/>
      <c r="J55" s="123"/>
      <c r="K55" s="123"/>
      <c r="L55" s="125"/>
      <c r="M55" s="129"/>
      <c r="N55" s="117"/>
      <c r="O55" s="127">
        <f t="shared" si="16"/>
        <v>3892.8333333333335</v>
      </c>
      <c r="P55" s="127">
        <f t="shared" si="17"/>
        <v>11678.5</v>
      </c>
      <c r="Q55" s="155">
        <f t="shared" si="18"/>
        <v>7112.39</v>
      </c>
    </row>
    <row r="56" spans="2:17" ht="15.95" customHeight="1" x14ac:dyDescent="0.25">
      <c r="B56" s="131" t="s">
        <v>57</v>
      </c>
      <c r="C56" s="123">
        <v>2736.33</v>
      </c>
      <c r="D56" s="125">
        <v>3757.13</v>
      </c>
      <c r="E56" s="166">
        <v>2449.13</v>
      </c>
      <c r="F56" s="185"/>
      <c r="G56" s="125"/>
      <c r="H56" s="123"/>
      <c r="I56" s="123"/>
      <c r="J56" s="123"/>
      <c r="K56" s="138"/>
      <c r="L56" s="136"/>
      <c r="M56" s="129"/>
      <c r="N56" s="134"/>
      <c r="O56" s="127">
        <f t="shared" si="16"/>
        <v>2980.8633333333332</v>
      </c>
      <c r="P56" s="127">
        <f t="shared" si="17"/>
        <v>8942.59</v>
      </c>
      <c r="Q56" s="155">
        <f t="shared" si="18"/>
        <v>3757.13</v>
      </c>
    </row>
    <row r="57" spans="2:17" ht="15.95" customHeight="1" x14ac:dyDescent="0.25">
      <c r="B57" s="121" t="s">
        <v>10</v>
      </c>
      <c r="C57" s="123">
        <v>13458.06</v>
      </c>
      <c r="D57" s="125">
        <v>16414.63</v>
      </c>
      <c r="E57" s="166"/>
      <c r="F57" s="125"/>
      <c r="G57" s="125"/>
      <c r="H57" s="123"/>
      <c r="I57" s="123"/>
      <c r="J57" s="123"/>
      <c r="K57" s="123"/>
      <c r="L57" s="125"/>
      <c r="M57" s="129"/>
      <c r="N57" s="134"/>
      <c r="O57" s="127">
        <f t="shared" si="16"/>
        <v>14936.345000000001</v>
      </c>
      <c r="P57" s="127">
        <f t="shared" si="17"/>
        <v>29872.690000000002</v>
      </c>
      <c r="Q57" s="155">
        <f t="shared" si="18"/>
        <v>16414.63</v>
      </c>
    </row>
    <row r="58" spans="2:17" ht="15.95" customHeight="1" x14ac:dyDescent="0.25">
      <c r="B58" s="121" t="s">
        <v>11</v>
      </c>
      <c r="C58" s="123">
        <v>0</v>
      </c>
      <c r="D58" s="136"/>
      <c r="E58" s="154"/>
      <c r="F58" s="167"/>
      <c r="G58" s="164"/>
      <c r="H58" s="133"/>
      <c r="I58" s="168"/>
      <c r="J58" s="168"/>
      <c r="K58" s="138"/>
      <c r="L58" s="169"/>
      <c r="M58" s="170"/>
      <c r="N58" s="171"/>
      <c r="O58" s="127">
        <f t="shared" si="16"/>
        <v>0</v>
      </c>
      <c r="P58" s="127">
        <f t="shared" si="17"/>
        <v>0</v>
      </c>
      <c r="Q58" s="155">
        <f t="shared" si="18"/>
        <v>0</v>
      </c>
    </row>
    <row r="59" spans="2:17" ht="15.95" customHeight="1" thickBot="1" x14ac:dyDescent="0.3">
      <c r="B59" s="140" t="s">
        <v>13</v>
      </c>
      <c r="C59" s="142">
        <v>1517.86</v>
      </c>
      <c r="D59" s="160">
        <v>478.38</v>
      </c>
      <c r="E59" s="161"/>
      <c r="F59" s="142"/>
      <c r="G59" s="172"/>
      <c r="H59" s="173"/>
      <c r="I59" s="142"/>
      <c r="J59" s="142"/>
      <c r="K59" s="173"/>
      <c r="L59" s="142"/>
      <c r="M59" s="174"/>
      <c r="N59" s="175"/>
      <c r="O59" s="147">
        <f t="shared" si="16"/>
        <v>998.11999999999989</v>
      </c>
      <c r="P59" s="147">
        <f t="shared" si="17"/>
        <v>1996.2399999999998</v>
      </c>
      <c r="Q59" s="148">
        <f t="shared" si="18"/>
        <v>1517.86</v>
      </c>
    </row>
    <row r="60" spans="2:17" ht="15.75" thickBot="1" x14ac:dyDescent="0.3">
      <c r="B60" s="199" t="s">
        <v>26</v>
      </c>
      <c r="C60" s="270">
        <f>SUM(C53:C59)</f>
        <v>33254.49</v>
      </c>
      <c r="D60" s="149">
        <f t="shared" ref="D60:Q60" si="19">SUM(D53:D59)</f>
        <v>35483.22</v>
      </c>
      <c r="E60" s="149">
        <f t="shared" si="19"/>
        <v>24627.38</v>
      </c>
      <c r="F60" s="149">
        <f t="shared" si="19"/>
        <v>0</v>
      </c>
      <c r="G60" s="149">
        <f t="shared" si="19"/>
        <v>0</v>
      </c>
      <c r="H60" s="149">
        <f t="shared" si="19"/>
        <v>0</v>
      </c>
      <c r="I60" s="149">
        <f t="shared" si="19"/>
        <v>0</v>
      </c>
      <c r="J60" s="149">
        <f t="shared" si="19"/>
        <v>0</v>
      </c>
      <c r="K60" s="149">
        <f t="shared" si="19"/>
        <v>0</v>
      </c>
      <c r="L60" s="149">
        <f t="shared" si="19"/>
        <v>0</v>
      </c>
      <c r="M60" s="149">
        <f t="shared" si="19"/>
        <v>0</v>
      </c>
      <c r="N60" s="149">
        <f t="shared" si="19"/>
        <v>0</v>
      </c>
      <c r="O60" s="149">
        <f t="shared" si="19"/>
        <v>36433.185000000005</v>
      </c>
      <c r="P60" s="149">
        <f t="shared" si="19"/>
        <v>93365.090000000011</v>
      </c>
      <c r="Q60" s="88">
        <f t="shared" si="19"/>
        <v>51317.819999999992</v>
      </c>
    </row>
  </sheetData>
  <mergeCells count="6">
    <mergeCell ref="B51:Q51"/>
    <mergeCell ref="B2:Q2"/>
    <mergeCell ref="B14:Q14"/>
    <mergeCell ref="B25:Q25"/>
    <mergeCell ref="B36:Q36"/>
    <mergeCell ref="B47:Q47"/>
  </mergeCells>
  <printOptions horizontalCentered="1" verticalCentered="1"/>
  <pageMargins left="0" right="0" top="0" bottom="0" header="0" footer="0"/>
  <pageSetup paperSize="9" scale="61" orientation="landscape" horizontalDpi="0" verticalDpi="0" r:id="rId1"/>
  <headerFooter>
    <oddHeader>&amp;C&amp;A</oddHeader>
    <oddFooter>&amp;Z&amp;F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>
    <pageSetUpPr fitToPage="1"/>
  </sheetPr>
  <dimension ref="A1:T59"/>
  <sheetViews>
    <sheetView topLeftCell="A31" zoomScale="84" zoomScaleNormal="84" workbookViewId="0">
      <selection activeCell="M4" sqref="M4"/>
    </sheetView>
  </sheetViews>
  <sheetFormatPr defaultRowHeight="15" x14ac:dyDescent="0.25"/>
  <cols>
    <col min="1" max="1" width="0.85546875" style="186" customWidth="1"/>
    <col min="2" max="2" width="35.140625" style="198" customWidth="1"/>
    <col min="3" max="17" width="12.7109375" style="186" customWidth="1"/>
  </cols>
  <sheetData>
    <row r="1" spans="1:20" ht="15.95" customHeight="1" thickBot="1" x14ac:dyDescent="0.3"/>
    <row r="2" spans="1:20" ht="15.95" customHeight="1" thickBot="1" x14ac:dyDescent="0.3">
      <c r="B2" s="295" t="s">
        <v>2</v>
      </c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7"/>
    </row>
    <row r="3" spans="1:20" ht="15.95" customHeight="1" thickBot="1" x14ac:dyDescent="0.3">
      <c r="B3" s="48" t="s">
        <v>1</v>
      </c>
      <c r="C3" s="47" t="s">
        <v>0</v>
      </c>
      <c r="D3" s="48" t="s">
        <v>14</v>
      </c>
      <c r="E3" s="46" t="s">
        <v>15</v>
      </c>
      <c r="F3" s="48" t="s">
        <v>16</v>
      </c>
      <c r="G3" s="48" t="s">
        <v>17</v>
      </c>
      <c r="H3" s="48" t="s">
        <v>18</v>
      </c>
      <c r="I3" s="48" t="s">
        <v>19</v>
      </c>
      <c r="J3" s="48" t="s">
        <v>20</v>
      </c>
      <c r="K3" s="48" t="s">
        <v>21</v>
      </c>
      <c r="L3" s="48" t="s">
        <v>22</v>
      </c>
      <c r="M3" s="48" t="s">
        <v>23</v>
      </c>
      <c r="N3" s="47" t="s">
        <v>24</v>
      </c>
      <c r="O3" s="96" t="s">
        <v>25</v>
      </c>
      <c r="P3" s="49" t="s">
        <v>26</v>
      </c>
      <c r="Q3" s="49" t="s">
        <v>27</v>
      </c>
    </row>
    <row r="4" spans="1:20" ht="15.95" customHeight="1" thickBot="1" x14ac:dyDescent="0.3">
      <c r="B4" s="110" t="s">
        <v>7</v>
      </c>
      <c r="C4" s="111">
        <v>8444.69</v>
      </c>
      <c r="D4" s="112">
        <v>7756.11</v>
      </c>
      <c r="E4" s="113">
        <v>7109.52</v>
      </c>
      <c r="F4" s="112">
        <v>10337.75</v>
      </c>
      <c r="G4" s="114">
        <v>7646.41</v>
      </c>
      <c r="H4" s="115">
        <v>9924.5499999999993</v>
      </c>
      <c r="I4" s="112">
        <v>5701.18</v>
      </c>
      <c r="J4" s="112">
        <v>7959.9</v>
      </c>
      <c r="K4" s="112">
        <v>12798.59</v>
      </c>
      <c r="L4" s="116">
        <v>13210.33</v>
      </c>
      <c r="M4" s="117">
        <v>9685.41</v>
      </c>
      <c r="N4" s="118">
        <v>10169.92</v>
      </c>
      <c r="O4" s="119">
        <f>AVERAGE(C4:N4)</f>
        <v>9228.6966666666667</v>
      </c>
      <c r="P4" s="119">
        <f>SUM(C4:N4)</f>
        <v>110744.36</v>
      </c>
      <c r="Q4" s="120">
        <f>MAX(C4:N4)</f>
        <v>13210.33</v>
      </c>
    </row>
    <row r="5" spans="1:20" ht="15.95" customHeight="1" x14ac:dyDescent="0.25">
      <c r="B5" s="121" t="s">
        <v>8</v>
      </c>
      <c r="C5" s="122">
        <v>19439.64</v>
      </c>
      <c r="D5" s="123">
        <v>16434.25</v>
      </c>
      <c r="E5" s="124">
        <v>11865.03</v>
      </c>
      <c r="F5" s="123">
        <v>18350.82</v>
      </c>
      <c r="G5" s="125">
        <v>13512.81</v>
      </c>
      <c r="H5" s="123">
        <v>14471.57</v>
      </c>
      <c r="I5" s="123">
        <v>6172.2</v>
      </c>
      <c r="J5" s="123">
        <v>11903.27</v>
      </c>
      <c r="K5" s="123">
        <v>17476.8</v>
      </c>
      <c r="L5" s="125">
        <v>12343.69</v>
      </c>
      <c r="M5" s="126">
        <v>11079.02</v>
      </c>
      <c r="N5" s="117">
        <v>9536.2999999999993</v>
      </c>
      <c r="O5" s="127">
        <f t="shared" ref="O5:O11" si="0">AVERAGE(C5:N5)</f>
        <v>13548.783333333331</v>
      </c>
      <c r="P5" s="127">
        <f t="shared" ref="P5:P11" si="1">SUM(C5:N5)</f>
        <v>162585.39999999997</v>
      </c>
      <c r="Q5" s="128">
        <f t="shared" ref="Q5:Q11" si="2">MAX(C5:N5)</f>
        <v>19439.64</v>
      </c>
    </row>
    <row r="6" spans="1:20" ht="15.95" customHeight="1" x14ac:dyDescent="0.25">
      <c r="B6" s="121" t="s">
        <v>9</v>
      </c>
      <c r="C6" s="122">
        <v>6644.03</v>
      </c>
      <c r="D6" s="123">
        <v>5076.84</v>
      </c>
      <c r="E6" s="124">
        <v>6496.57</v>
      </c>
      <c r="F6" s="123">
        <v>11477.55</v>
      </c>
      <c r="G6" s="125">
        <v>6863.84</v>
      </c>
      <c r="H6" s="123">
        <v>5595.68</v>
      </c>
      <c r="I6" s="123">
        <v>8913.4500000000007</v>
      </c>
      <c r="J6" s="123">
        <v>6581</v>
      </c>
      <c r="K6" s="123">
        <v>10865.52</v>
      </c>
      <c r="L6" s="125">
        <v>10390.620000000001</v>
      </c>
      <c r="M6" s="129">
        <v>9880.0499999999993</v>
      </c>
      <c r="N6" s="117">
        <v>7507.8</v>
      </c>
      <c r="O6" s="130">
        <f t="shared" si="0"/>
        <v>8024.4125000000013</v>
      </c>
      <c r="P6" s="130">
        <f t="shared" si="1"/>
        <v>96292.950000000012</v>
      </c>
      <c r="Q6" s="128">
        <f t="shared" si="2"/>
        <v>11477.55</v>
      </c>
    </row>
    <row r="7" spans="1:20" ht="15.95" customHeight="1" x14ac:dyDescent="0.25">
      <c r="B7" s="131" t="s">
        <v>57</v>
      </c>
      <c r="C7" s="132">
        <v>331.51</v>
      </c>
      <c r="D7" s="133">
        <v>369.03</v>
      </c>
      <c r="E7" s="124">
        <v>256.11</v>
      </c>
      <c r="F7" s="123">
        <v>640.51</v>
      </c>
      <c r="G7" s="125">
        <v>1024.97</v>
      </c>
      <c r="H7" s="123">
        <v>468.61</v>
      </c>
      <c r="I7" s="123">
        <v>772.4</v>
      </c>
      <c r="J7" s="123">
        <v>1566.36</v>
      </c>
      <c r="K7" s="123">
        <v>1942.08</v>
      </c>
      <c r="L7" s="125">
        <v>1806.58</v>
      </c>
      <c r="M7" s="129">
        <v>466.4</v>
      </c>
      <c r="N7" s="134">
        <v>194.65</v>
      </c>
      <c r="O7" s="130">
        <f t="shared" si="0"/>
        <v>819.93416666666656</v>
      </c>
      <c r="P7" s="130">
        <f t="shared" si="1"/>
        <v>9839.2099999999991</v>
      </c>
      <c r="Q7" s="128">
        <f t="shared" si="2"/>
        <v>1942.08</v>
      </c>
    </row>
    <row r="8" spans="1:20" ht="15.95" customHeight="1" x14ac:dyDescent="0.25">
      <c r="B8" s="121" t="s">
        <v>10</v>
      </c>
      <c r="C8" s="122">
        <v>29624.11</v>
      </c>
      <c r="D8" s="123">
        <v>37478.71</v>
      </c>
      <c r="E8" s="124">
        <v>38658.21</v>
      </c>
      <c r="F8" s="123">
        <v>34257.53</v>
      </c>
      <c r="G8" s="125">
        <v>36892.29</v>
      </c>
      <c r="H8" s="123">
        <v>29472.86</v>
      </c>
      <c r="I8" s="123">
        <v>17421.7</v>
      </c>
      <c r="J8" s="123">
        <v>29832.73</v>
      </c>
      <c r="K8" s="123">
        <v>30182.76</v>
      </c>
      <c r="L8" s="125">
        <v>33450.339999999997</v>
      </c>
      <c r="M8" s="129">
        <v>29989.83</v>
      </c>
      <c r="N8" s="117">
        <v>30042.959999999999</v>
      </c>
      <c r="O8" s="130">
        <f t="shared" si="0"/>
        <v>31442.002500000002</v>
      </c>
      <c r="P8" s="130">
        <f t="shared" si="1"/>
        <v>377304.03</v>
      </c>
      <c r="Q8" s="128">
        <f t="shared" si="2"/>
        <v>38658.21</v>
      </c>
    </row>
    <row r="9" spans="1:20" ht="15.95" customHeight="1" x14ac:dyDescent="0.25">
      <c r="B9" s="121" t="s">
        <v>11</v>
      </c>
      <c r="C9" s="132">
        <v>687.7</v>
      </c>
      <c r="D9" s="133"/>
      <c r="E9" s="124">
        <v>496.08</v>
      </c>
      <c r="F9" s="135">
        <v>245</v>
      </c>
      <c r="G9" s="136"/>
      <c r="H9" s="133">
        <v>893.1</v>
      </c>
      <c r="I9" s="123"/>
      <c r="J9" s="133">
        <v>552</v>
      </c>
      <c r="K9" s="133">
        <v>552</v>
      </c>
      <c r="L9" s="125">
        <v>1104</v>
      </c>
      <c r="M9" s="137">
        <v>552</v>
      </c>
      <c r="N9" s="134"/>
      <c r="O9" s="130">
        <f t="shared" si="0"/>
        <v>635.23500000000001</v>
      </c>
      <c r="P9" s="130">
        <f t="shared" si="1"/>
        <v>5081.88</v>
      </c>
      <c r="Q9" s="128">
        <f t="shared" si="2"/>
        <v>1104</v>
      </c>
    </row>
    <row r="10" spans="1:20" ht="15.95" customHeight="1" x14ac:dyDescent="0.25">
      <c r="B10" s="121" t="s">
        <v>12</v>
      </c>
      <c r="C10" s="122">
        <v>6556.67</v>
      </c>
      <c r="D10" s="123">
        <v>7493.3</v>
      </c>
      <c r="E10" s="124">
        <v>5155.8999999999996</v>
      </c>
      <c r="F10" s="138">
        <v>9159.5</v>
      </c>
      <c r="G10" s="125">
        <v>4694.22</v>
      </c>
      <c r="H10" s="139">
        <v>6493.35</v>
      </c>
      <c r="I10" s="123">
        <v>6013.74</v>
      </c>
      <c r="J10" s="123">
        <v>3996.62</v>
      </c>
      <c r="K10" s="123">
        <v>9235.4</v>
      </c>
      <c r="L10" s="125">
        <v>7121.71</v>
      </c>
      <c r="M10" s="129">
        <v>6081.48</v>
      </c>
      <c r="N10" s="117">
        <v>8300.33</v>
      </c>
      <c r="O10" s="130">
        <f t="shared" si="0"/>
        <v>6691.8516666666665</v>
      </c>
      <c r="P10" s="130">
        <f t="shared" si="1"/>
        <v>80302.22</v>
      </c>
      <c r="Q10" s="128">
        <f t="shared" si="2"/>
        <v>9235.4</v>
      </c>
    </row>
    <row r="11" spans="1:20" ht="15.95" customHeight="1" thickBot="1" x14ac:dyDescent="0.3">
      <c r="B11" s="140" t="s">
        <v>13</v>
      </c>
      <c r="C11" s="141">
        <v>11974.61</v>
      </c>
      <c r="D11" s="142">
        <v>4012.97</v>
      </c>
      <c r="E11" s="143">
        <v>8303.23</v>
      </c>
      <c r="F11" s="144">
        <v>5148.84</v>
      </c>
      <c r="G11" s="87">
        <v>11469.05</v>
      </c>
      <c r="H11" s="142">
        <v>9297.25</v>
      </c>
      <c r="I11" s="142">
        <v>4746.16</v>
      </c>
      <c r="J11" s="142">
        <v>7050.99</v>
      </c>
      <c r="K11" s="142">
        <v>13696.36</v>
      </c>
      <c r="L11" s="87">
        <v>10630.08</v>
      </c>
      <c r="M11" s="145">
        <v>7396.19</v>
      </c>
      <c r="N11" s="146">
        <v>8967.0499999999993</v>
      </c>
      <c r="O11" s="147">
        <f t="shared" si="0"/>
        <v>8557.7316666666666</v>
      </c>
      <c r="P11" s="147">
        <f t="shared" si="1"/>
        <v>102692.78</v>
      </c>
      <c r="Q11" s="148">
        <f t="shared" si="2"/>
        <v>13696.36</v>
      </c>
    </row>
    <row r="12" spans="1:20" ht="15.95" customHeight="1" thickBot="1" x14ac:dyDescent="0.3">
      <c r="B12" s="199" t="s">
        <v>26</v>
      </c>
      <c r="C12" s="149">
        <f>SUM(C4:C11)</f>
        <v>83702.960000000006</v>
      </c>
      <c r="D12" s="149">
        <f t="shared" ref="D12:J12" si="3">SUM(D4:D11)</f>
        <v>78621.210000000006</v>
      </c>
      <c r="E12" s="149">
        <f t="shared" si="3"/>
        <v>78340.649999999994</v>
      </c>
      <c r="F12" s="149">
        <f t="shared" si="3"/>
        <v>89617.5</v>
      </c>
      <c r="G12" s="149">
        <f t="shared" si="3"/>
        <v>82103.590000000011</v>
      </c>
      <c r="H12" s="149">
        <f t="shared" si="3"/>
        <v>76616.97</v>
      </c>
      <c r="I12" s="149">
        <f t="shared" si="3"/>
        <v>49740.83</v>
      </c>
      <c r="J12" s="149">
        <f t="shared" si="3"/>
        <v>69442.87</v>
      </c>
      <c r="K12" s="149">
        <f t="shared" ref="K12:Q12" si="4">SUM(K4:K11)</f>
        <v>96749.51</v>
      </c>
      <c r="L12" s="149">
        <f t="shared" si="4"/>
        <v>90057.35</v>
      </c>
      <c r="M12" s="149">
        <f t="shared" si="4"/>
        <v>75130.38</v>
      </c>
      <c r="N12" s="149">
        <f t="shared" si="4"/>
        <v>74719.010000000009</v>
      </c>
      <c r="O12" s="149">
        <f t="shared" si="4"/>
        <v>78948.647499999992</v>
      </c>
      <c r="P12" s="149">
        <f t="shared" si="4"/>
        <v>944842.83</v>
      </c>
      <c r="Q12" s="88">
        <f t="shared" si="4"/>
        <v>108763.56999999999</v>
      </c>
      <c r="T12" s="1"/>
    </row>
    <row r="13" spans="1:20" s="15" customFormat="1" ht="15.95" customHeight="1" thickBot="1" x14ac:dyDescent="0.3">
      <c r="A13" s="188"/>
      <c r="B13" s="20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1"/>
    </row>
    <row r="14" spans="1:20" ht="15.95" customHeight="1" thickBot="1" x14ac:dyDescent="0.3">
      <c r="B14" s="298" t="s">
        <v>3</v>
      </c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  <c r="P14" s="299"/>
      <c r="Q14" s="300"/>
      <c r="T14" s="1"/>
    </row>
    <row r="15" spans="1:20" ht="15.95" customHeight="1" thickBot="1" x14ac:dyDescent="0.3">
      <c r="B15" s="48" t="s">
        <v>1</v>
      </c>
      <c r="C15" s="47" t="s">
        <v>0</v>
      </c>
      <c r="D15" s="48" t="s">
        <v>14</v>
      </c>
      <c r="E15" s="46" t="s">
        <v>15</v>
      </c>
      <c r="F15" s="48" t="s">
        <v>16</v>
      </c>
      <c r="G15" s="48" t="s">
        <v>17</v>
      </c>
      <c r="H15" s="48" t="s">
        <v>18</v>
      </c>
      <c r="I15" s="48" t="s">
        <v>19</v>
      </c>
      <c r="J15" s="48" t="s">
        <v>20</v>
      </c>
      <c r="K15" s="48" t="s">
        <v>21</v>
      </c>
      <c r="L15" s="48" t="s">
        <v>22</v>
      </c>
      <c r="M15" s="48" t="s">
        <v>23</v>
      </c>
      <c r="N15" s="47" t="s">
        <v>24</v>
      </c>
      <c r="O15" s="49" t="s">
        <v>25</v>
      </c>
      <c r="P15" s="49" t="s">
        <v>26</v>
      </c>
      <c r="Q15" s="49" t="s">
        <v>27</v>
      </c>
      <c r="T15" s="1"/>
    </row>
    <row r="16" spans="1:20" ht="15.95" customHeight="1" x14ac:dyDescent="0.25">
      <c r="B16" s="152" t="s">
        <v>7</v>
      </c>
      <c r="C16" s="116">
        <v>6007.89</v>
      </c>
      <c r="D16" s="116">
        <v>4913.5200000000004</v>
      </c>
      <c r="E16" s="153">
        <v>16396.47</v>
      </c>
      <c r="F16" s="112">
        <v>8329.1</v>
      </c>
      <c r="G16" s="114">
        <v>10493.3</v>
      </c>
      <c r="H16" s="115">
        <v>1817.03</v>
      </c>
      <c r="I16" s="112" t="s">
        <v>39</v>
      </c>
      <c r="J16" s="112">
        <v>6057.21</v>
      </c>
      <c r="K16" s="112">
        <v>7748.84</v>
      </c>
      <c r="L16" s="126">
        <v>4560.5600000000004</v>
      </c>
      <c r="M16" s="126">
        <v>7261.56</v>
      </c>
      <c r="N16" s="118">
        <v>5446.83</v>
      </c>
      <c r="O16" s="119">
        <f>AVERAGE(C16:N16)</f>
        <v>7184.7554545454541</v>
      </c>
      <c r="P16" s="119">
        <f>SUM(C16:N16)</f>
        <v>79032.31</v>
      </c>
      <c r="Q16" s="120">
        <f>MAX(C16:N16)</f>
        <v>16396.47</v>
      </c>
      <c r="T16" s="1"/>
    </row>
    <row r="17" spans="1:20" ht="15.95" customHeight="1" x14ac:dyDescent="0.25">
      <c r="B17" s="67" t="s">
        <v>8</v>
      </c>
      <c r="C17" s="125">
        <v>16879.310000000001</v>
      </c>
      <c r="D17" s="125">
        <v>11705.04</v>
      </c>
      <c r="E17" s="154">
        <v>41688.29</v>
      </c>
      <c r="F17" s="123">
        <v>15249.19</v>
      </c>
      <c r="G17" s="125">
        <v>17345.3</v>
      </c>
      <c r="H17" s="123">
        <v>5025.53</v>
      </c>
      <c r="I17" s="123">
        <v>10242.31</v>
      </c>
      <c r="J17" s="123">
        <v>11706.8</v>
      </c>
      <c r="K17" s="123" t="s">
        <v>61</v>
      </c>
      <c r="L17" s="129">
        <v>10926.52</v>
      </c>
      <c r="M17" s="129">
        <v>6922.48</v>
      </c>
      <c r="N17" s="117">
        <v>6608.2</v>
      </c>
      <c r="O17" s="127">
        <f t="shared" ref="O17:O22" si="5">AVERAGE(C17:N17)</f>
        <v>14027.179090909094</v>
      </c>
      <c r="P17" s="127">
        <f t="shared" ref="P17:P22" si="6">SUM(C17:N17)</f>
        <v>154298.97000000003</v>
      </c>
      <c r="Q17" s="155">
        <f t="shared" ref="Q17:Q22" si="7">MAX(C17:N17)</f>
        <v>41688.29</v>
      </c>
      <c r="T17" s="1"/>
    </row>
    <row r="18" spans="1:20" ht="15.95" customHeight="1" x14ac:dyDescent="0.25">
      <c r="B18" s="67" t="s">
        <v>9</v>
      </c>
      <c r="C18" s="125">
        <v>13233.73</v>
      </c>
      <c r="D18" s="125">
        <v>6437.49</v>
      </c>
      <c r="E18" s="154">
        <v>16684.87</v>
      </c>
      <c r="F18" s="123">
        <v>7113.47</v>
      </c>
      <c r="G18" s="125">
        <v>8844.42</v>
      </c>
      <c r="H18" s="123">
        <v>2187.79</v>
      </c>
      <c r="I18" s="123">
        <v>6287.69</v>
      </c>
      <c r="J18" s="123">
        <v>6472.22</v>
      </c>
      <c r="K18" s="123">
        <v>6613.86</v>
      </c>
      <c r="L18" s="129">
        <v>4188.66</v>
      </c>
      <c r="M18" s="129">
        <v>7598.24</v>
      </c>
      <c r="N18" s="117">
        <v>5372.43</v>
      </c>
      <c r="O18" s="127">
        <f t="shared" si="5"/>
        <v>7586.2391666666663</v>
      </c>
      <c r="P18" s="127">
        <f t="shared" si="6"/>
        <v>91034.87</v>
      </c>
      <c r="Q18" s="155">
        <f t="shared" si="7"/>
        <v>16684.87</v>
      </c>
      <c r="T18" s="1"/>
    </row>
    <row r="19" spans="1:20" ht="15.95" customHeight="1" x14ac:dyDescent="0.25">
      <c r="B19" s="156" t="s">
        <v>57</v>
      </c>
      <c r="C19" s="125">
        <v>4641.17</v>
      </c>
      <c r="D19" s="125">
        <v>3391.09</v>
      </c>
      <c r="E19" s="154">
        <v>2738.26</v>
      </c>
      <c r="F19" s="123">
        <v>4745.83</v>
      </c>
      <c r="G19" s="125">
        <v>4127.53</v>
      </c>
      <c r="H19" s="123">
        <v>1309.51</v>
      </c>
      <c r="I19" s="123" t="s">
        <v>40</v>
      </c>
      <c r="J19" s="123">
        <v>4287.01</v>
      </c>
      <c r="K19" s="123">
        <v>6370.88</v>
      </c>
      <c r="L19" s="129">
        <v>2156.8200000000002</v>
      </c>
      <c r="M19" s="197">
        <v>8131.67</v>
      </c>
      <c r="N19" s="134">
        <v>898.94</v>
      </c>
      <c r="O19" s="127">
        <f t="shared" si="5"/>
        <v>3890.7918181818186</v>
      </c>
      <c r="P19" s="127">
        <f t="shared" si="6"/>
        <v>42798.710000000006</v>
      </c>
      <c r="Q19" s="155">
        <f t="shared" si="7"/>
        <v>8131.67</v>
      </c>
      <c r="T19" s="1"/>
    </row>
    <row r="20" spans="1:20" ht="15.95" customHeight="1" x14ac:dyDescent="0.25">
      <c r="B20" s="67" t="s">
        <v>10</v>
      </c>
      <c r="C20" s="125">
        <v>42771.99</v>
      </c>
      <c r="D20" s="125">
        <v>29414.15</v>
      </c>
      <c r="E20" s="154">
        <v>54664.45</v>
      </c>
      <c r="F20" s="123">
        <v>33363.65</v>
      </c>
      <c r="G20" s="125">
        <v>31956.09</v>
      </c>
      <c r="H20" s="123">
        <v>4218.78</v>
      </c>
      <c r="I20" s="123">
        <v>24888.73</v>
      </c>
      <c r="J20" s="123">
        <v>22266.73</v>
      </c>
      <c r="K20" s="123">
        <v>23403</v>
      </c>
      <c r="L20" s="129">
        <v>6922.58</v>
      </c>
      <c r="M20" s="129">
        <v>25854.400000000001</v>
      </c>
      <c r="N20" s="117">
        <v>15398.84</v>
      </c>
      <c r="O20" s="127">
        <f t="shared" si="5"/>
        <v>26260.282500000005</v>
      </c>
      <c r="P20" s="127">
        <f t="shared" si="6"/>
        <v>315123.39000000007</v>
      </c>
      <c r="Q20" s="155">
        <f t="shared" si="7"/>
        <v>54664.45</v>
      </c>
      <c r="T20" s="1"/>
    </row>
    <row r="21" spans="1:20" ht="15.95" customHeight="1" x14ac:dyDescent="0.25">
      <c r="B21" s="67" t="s">
        <v>11</v>
      </c>
      <c r="C21" s="136">
        <v>59.06</v>
      </c>
      <c r="D21" s="157"/>
      <c r="E21" s="154">
        <v>245</v>
      </c>
      <c r="F21" s="135"/>
      <c r="G21" s="136">
        <v>900.63</v>
      </c>
      <c r="H21" s="133"/>
      <c r="I21" s="133">
        <v>552</v>
      </c>
      <c r="J21" s="133">
        <v>276</v>
      </c>
      <c r="K21" s="135"/>
      <c r="L21" s="158">
        <v>276</v>
      </c>
      <c r="M21" s="158">
        <v>125.29</v>
      </c>
      <c r="N21" s="134">
        <v>116.16</v>
      </c>
      <c r="O21" s="127">
        <f t="shared" si="5"/>
        <v>318.76749999999998</v>
      </c>
      <c r="P21" s="127">
        <f t="shared" si="6"/>
        <v>2550.14</v>
      </c>
      <c r="Q21" s="155">
        <f t="shared" si="7"/>
        <v>900.63</v>
      </c>
      <c r="T21" s="1"/>
    </row>
    <row r="22" spans="1:20" ht="15.95" customHeight="1" thickBot="1" x14ac:dyDescent="0.3">
      <c r="B22" s="159" t="s">
        <v>13</v>
      </c>
      <c r="C22" s="87">
        <v>3749.1</v>
      </c>
      <c r="D22" s="160">
        <v>3072.79</v>
      </c>
      <c r="E22" s="161">
        <v>59408.19</v>
      </c>
      <c r="F22" s="144">
        <v>5616.41</v>
      </c>
      <c r="G22" s="87">
        <v>17743.740000000002</v>
      </c>
      <c r="H22" s="142">
        <v>1478.83</v>
      </c>
      <c r="I22" s="142">
        <v>2891</v>
      </c>
      <c r="J22" s="142">
        <v>3419.58</v>
      </c>
      <c r="K22" s="144">
        <v>3736.19</v>
      </c>
      <c r="L22" s="162">
        <v>5766.37</v>
      </c>
      <c r="M22" s="162">
        <v>2989.88</v>
      </c>
      <c r="N22" s="146">
        <v>2537.3000000000002</v>
      </c>
      <c r="O22" s="147">
        <f t="shared" si="5"/>
        <v>9367.4483333333355</v>
      </c>
      <c r="P22" s="147">
        <f t="shared" si="6"/>
        <v>112409.38000000002</v>
      </c>
      <c r="Q22" s="148">
        <f t="shared" si="7"/>
        <v>59408.19</v>
      </c>
      <c r="T22" s="1"/>
    </row>
    <row r="23" spans="1:20" ht="15.95" customHeight="1" thickBot="1" x14ac:dyDescent="0.3">
      <c r="B23" s="199" t="s">
        <v>26</v>
      </c>
      <c r="C23" s="149">
        <f>SUM(C16:C22)</f>
        <v>87342.25</v>
      </c>
      <c r="D23" s="149">
        <f t="shared" ref="D23:Q23" si="8">SUM(D16:D22)</f>
        <v>58934.080000000009</v>
      </c>
      <c r="E23" s="149">
        <f t="shared" si="8"/>
        <v>191825.53</v>
      </c>
      <c r="F23" s="149">
        <f t="shared" si="8"/>
        <v>74417.650000000009</v>
      </c>
      <c r="G23" s="149">
        <f t="shared" si="8"/>
        <v>91411.010000000009</v>
      </c>
      <c r="H23" s="149">
        <f t="shared" si="8"/>
        <v>16037.47</v>
      </c>
      <c r="I23" s="149">
        <f t="shared" si="8"/>
        <v>44861.729999999996</v>
      </c>
      <c r="J23" s="149">
        <f t="shared" si="8"/>
        <v>54485.55</v>
      </c>
      <c r="K23" s="149">
        <f t="shared" si="8"/>
        <v>47872.770000000004</v>
      </c>
      <c r="L23" s="149">
        <f t="shared" si="8"/>
        <v>34797.51</v>
      </c>
      <c r="M23" s="149">
        <f t="shared" si="8"/>
        <v>58883.519999999997</v>
      </c>
      <c r="N23" s="149">
        <f t="shared" si="8"/>
        <v>36378.700000000004</v>
      </c>
      <c r="O23" s="149">
        <f t="shared" si="8"/>
        <v>68635.463863636367</v>
      </c>
      <c r="P23" s="149">
        <f t="shared" si="8"/>
        <v>797247.77000000014</v>
      </c>
      <c r="Q23" s="88">
        <f t="shared" si="8"/>
        <v>197874.57</v>
      </c>
      <c r="T23" s="1"/>
    </row>
    <row r="24" spans="1:20" s="15" customFormat="1" ht="15.95" customHeight="1" thickBot="1" x14ac:dyDescent="0.3">
      <c r="A24" s="189"/>
      <c r="B24" s="20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6"/>
    </row>
    <row r="25" spans="1:20" ht="15.95" customHeight="1" thickBot="1" x14ac:dyDescent="0.3">
      <c r="B25" s="295" t="s">
        <v>4</v>
      </c>
      <c r="C25" s="296"/>
      <c r="D25" s="296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7"/>
      <c r="T25" s="1"/>
    </row>
    <row r="26" spans="1:20" ht="15.95" customHeight="1" thickBot="1" x14ac:dyDescent="0.3">
      <c r="B26" s="48" t="s">
        <v>1</v>
      </c>
      <c r="C26" s="47" t="s">
        <v>0</v>
      </c>
      <c r="D26" s="48" t="s">
        <v>14</v>
      </c>
      <c r="E26" s="46" t="s">
        <v>15</v>
      </c>
      <c r="F26" s="48" t="s">
        <v>16</v>
      </c>
      <c r="G26" s="48" t="s">
        <v>17</v>
      </c>
      <c r="H26" s="48" t="s">
        <v>18</v>
      </c>
      <c r="I26" s="48" t="s">
        <v>19</v>
      </c>
      <c r="J26" s="48" t="s">
        <v>20</v>
      </c>
      <c r="K26" s="48" t="s">
        <v>21</v>
      </c>
      <c r="L26" s="48" t="s">
        <v>22</v>
      </c>
      <c r="M26" s="48" t="s">
        <v>23</v>
      </c>
      <c r="N26" s="47" t="s">
        <v>24</v>
      </c>
      <c r="O26" s="49" t="s">
        <v>25</v>
      </c>
      <c r="P26" s="49" t="s">
        <v>26</v>
      </c>
      <c r="Q26" s="49" t="s">
        <v>27</v>
      </c>
      <c r="T26" s="1"/>
    </row>
    <row r="27" spans="1:20" ht="15.95" customHeight="1" x14ac:dyDescent="0.25">
      <c r="B27" s="152" t="s">
        <v>7</v>
      </c>
      <c r="C27" s="116">
        <v>2546.67</v>
      </c>
      <c r="D27" s="163">
        <v>288.25</v>
      </c>
      <c r="E27" s="153">
        <v>7104.93</v>
      </c>
      <c r="F27" s="112">
        <v>1416.49</v>
      </c>
      <c r="G27" s="114">
        <v>3791.98</v>
      </c>
      <c r="H27" s="115">
        <v>4581.4799999999996</v>
      </c>
      <c r="I27" s="112">
        <v>5572.41</v>
      </c>
      <c r="J27" s="112">
        <v>2924.79</v>
      </c>
      <c r="K27" s="112">
        <v>4346.51</v>
      </c>
      <c r="L27" s="116">
        <v>2271.11</v>
      </c>
      <c r="M27" s="126">
        <v>8446.2800000000007</v>
      </c>
      <c r="N27" s="118">
        <v>3564.73</v>
      </c>
      <c r="O27" s="119">
        <f t="shared" ref="O27:O33" si="9">AVERAGE(B27:N27)</f>
        <v>3904.6358333333337</v>
      </c>
      <c r="P27" s="120">
        <f>SUM(C27:N27)</f>
        <v>46855.630000000005</v>
      </c>
      <c r="Q27" s="120">
        <f>MAX(C27:N27)</f>
        <v>8446.2800000000007</v>
      </c>
      <c r="T27" s="1"/>
    </row>
    <row r="28" spans="1:20" ht="15.95" customHeight="1" x14ac:dyDescent="0.25">
      <c r="B28" s="67" t="s">
        <v>8</v>
      </c>
      <c r="C28" s="125">
        <v>6837.57</v>
      </c>
      <c r="D28" s="125">
        <v>5843.99</v>
      </c>
      <c r="E28" s="154">
        <v>8770.1299999999992</v>
      </c>
      <c r="F28" s="123">
        <v>6187.96</v>
      </c>
      <c r="G28" s="125">
        <v>5709.57</v>
      </c>
      <c r="H28" s="123">
        <v>5058.9799999999996</v>
      </c>
      <c r="I28" s="123">
        <v>4694.0600000000004</v>
      </c>
      <c r="J28" s="123">
        <v>4661.0200000000004</v>
      </c>
      <c r="K28" s="123">
        <v>5336.78</v>
      </c>
      <c r="L28" s="125">
        <v>2618.79</v>
      </c>
      <c r="M28" s="129">
        <v>6242.15</v>
      </c>
      <c r="N28" s="117">
        <v>1874.95</v>
      </c>
      <c r="O28" s="127">
        <f t="shared" si="9"/>
        <v>5319.6624999999995</v>
      </c>
      <c r="P28" s="155">
        <f t="shared" ref="P28:P33" si="10">SUM(C28:N28)</f>
        <v>63835.95</v>
      </c>
      <c r="Q28" s="155">
        <f t="shared" ref="Q28:Q33" si="11">MAX(C28:N28)</f>
        <v>8770.1299999999992</v>
      </c>
    </row>
    <row r="29" spans="1:20" ht="15.95" customHeight="1" x14ac:dyDescent="0.25">
      <c r="B29" s="67" t="s">
        <v>9</v>
      </c>
      <c r="C29" s="125">
        <v>8355.1200000000008</v>
      </c>
      <c r="D29" s="136">
        <v>677.26</v>
      </c>
      <c r="E29" s="154">
        <v>4447.84</v>
      </c>
      <c r="F29" s="123">
        <v>3226.44</v>
      </c>
      <c r="G29" s="125">
        <v>4051.41</v>
      </c>
      <c r="H29" s="123">
        <v>3290.28</v>
      </c>
      <c r="I29" s="123">
        <v>2751.2</v>
      </c>
      <c r="J29" s="123">
        <v>1990.65</v>
      </c>
      <c r="K29" s="123">
        <v>2058.61</v>
      </c>
      <c r="L29" s="125">
        <v>1251.3599999999999</v>
      </c>
      <c r="M29" s="129">
        <v>4277.7700000000004</v>
      </c>
      <c r="N29" s="117">
        <v>1437.63</v>
      </c>
      <c r="O29" s="127">
        <f t="shared" si="9"/>
        <v>3151.2975000000001</v>
      </c>
      <c r="P29" s="155">
        <f t="shared" si="10"/>
        <v>37815.57</v>
      </c>
      <c r="Q29" s="155">
        <f t="shared" si="11"/>
        <v>8355.1200000000008</v>
      </c>
    </row>
    <row r="30" spans="1:20" ht="15.95" customHeight="1" x14ac:dyDescent="0.25">
      <c r="B30" s="156" t="s">
        <v>57</v>
      </c>
      <c r="C30" s="136">
        <v>113.3</v>
      </c>
      <c r="D30" s="136">
        <v>874.19</v>
      </c>
      <c r="E30" s="124">
        <v>55.67</v>
      </c>
      <c r="F30" s="184">
        <v>57.87</v>
      </c>
      <c r="G30" s="136">
        <v>55.05</v>
      </c>
      <c r="H30" s="123">
        <v>74.819999999999993</v>
      </c>
      <c r="I30" s="123"/>
      <c r="J30" s="133"/>
      <c r="K30" s="123">
        <v>75.7</v>
      </c>
      <c r="L30" s="136"/>
      <c r="M30" s="129"/>
      <c r="N30" s="134"/>
      <c r="O30" s="127">
        <f t="shared" si="9"/>
        <v>186.65714285714284</v>
      </c>
      <c r="P30" s="155">
        <f t="shared" si="10"/>
        <v>1306.5999999999999</v>
      </c>
      <c r="Q30" s="155">
        <f t="shared" si="11"/>
        <v>874.19</v>
      </c>
    </row>
    <row r="31" spans="1:20" ht="15.95" customHeight="1" x14ac:dyDescent="0.25">
      <c r="B31" s="67" t="s">
        <v>10</v>
      </c>
      <c r="C31" s="125">
        <v>27353.16</v>
      </c>
      <c r="D31" s="125">
        <v>12327.06</v>
      </c>
      <c r="E31" s="154">
        <v>15253.19</v>
      </c>
      <c r="F31" s="123">
        <v>15532.99</v>
      </c>
      <c r="G31" s="125">
        <v>10409.280000000001</v>
      </c>
      <c r="H31" s="123">
        <v>15142.88</v>
      </c>
      <c r="I31" s="123">
        <v>5425.09</v>
      </c>
      <c r="J31" s="123">
        <v>18395.66</v>
      </c>
      <c r="K31" s="123">
        <v>5495</v>
      </c>
      <c r="L31" s="125">
        <v>9782.14</v>
      </c>
      <c r="M31" s="129">
        <v>15849</v>
      </c>
      <c r="N31" s="117">
        <v>14679.63</v>
      </c>
      <c r="O31" s="127">
        <f t="shared" si="9"/>
        <v>13803.756666666668</v>
      </c>
      <c r="P31" s="155">
        <f t="shared" si="10"/>
        <v>165645.08000000002</v>
      </c>
      <c r="Q31" s="155">
        <f t="shared" si="11"/>
        <v>27353.16</v>
      </c>
    </row>
    <row r="32" spans="1:20" ht="15.95" customHeight="1" x14ac:dyDescent="0.25">
      <c r="B32" s="67" t="s">
        <v>11</v>
      </c>
      <c r="C32" s="136"/>
      <c r="D32" s="136"/>
      <c r="E32" s="154">
        <v>362.2</v>
      </c>
      <c r="F32" s="123">
        <v>204.29</v>
      </c>
      <c r="G32" s="136">
        <v>27.08</v>
      </c>
      <c r="H32" s="133">
        <v>217.55</v>
      </c>
      <c r="I32" s="133">
        <v>62.78</v>
      </c>
      <c r="J32" s="133">
        <v>156.96</v>
      </c>
      <c r="K32" s="135">
        <v>47.02</v>
      </c>
      <c r="L32" s="164"/>
      <c r="M32" s="158">
        <v>121.5</v>
      </c>
      <c r="N32" s="165"/>
      <c r="O32" s="127">
        <f t="shared" si="9"/>
        <v>149.92250000000001</v>
      </c>
      <c r="P32" s="155">
        <f t="shared" si="10"/>
        <v>1199.3800000000001</v>
      </c>
      <c r="Q32" s="155">
        <f t="shared" si="11"/>
        <v>362.2</v>
      </c>
    </row>
    <row r="33" spans="1:18" ht="15.95" customHeight="1" thickBot="1" x14ac:dyDescent="0.3">
      <c r="B33" s="159" t="s">
        <v>13</v>
      </c>
      <c r="C33" s="87">
        <v>769.86</v>
      </c>
      <c r="D33" s="87">
        <v>1321.94</v>
      </c>
      <c r="E33" s="161">
        <v>5501.92</v>
      </c>
      <c r="F33" s="144">
        <v>612.87</v>
      </c>
      <c r="G33" s="87">
        <v>3016.88</v>
      </c>
      <c r="H33" s="142">
        <v>2904.61</v>
      </c>
      <c r="I33" s="142">
        <v>2393.4699999999998</v>
      </c>
      <c r="J33" s="142">
        <v>1878.44</v>
      </c>
      <c r="K33" s="144">
        <v>1373.59</v>
      </c>
      <c r="L33" s="87">
        <v>2135.0500000000002</v>
      </c>
      <c r="M33" s="162">
        <v>3152.57</v>
      </c>
      <c r="N33" s="146">
        <v>2917.34</v>
      </c>
      <c r="O33" s="147">
        <f t="shared" si="9"/>
        <v>2331.5450000000001</v>
      </c>
      <c r="P33" s="148">
        <f t="shared" si="10"/>
        <v>27978.54</v>
      </c>
      <c r="Q33" s="148">
        <f t="shared" si="11"/>
        <v>5501.92</v>
      </c>
    </row>
    <row r="34" spans="1:18" ht="15.95" customHeight="1" thickBot="1" x14ac:dyDescent="0.3">
      <c r="B34" s="199" t="s">
        <v>26</v>
      </c>
      <c r="C34" s="149">
        <f>SUM(C27:C33)</f>
        <v>45975.68</v>
      </c>
      <c r="D34" s="149">
        <f t="shared" ref="D34:Q34" si="12">SUM(D27:D33)</f>
        <v>21332.69</v>
      </c>
      <c r="E34" s="149">
        <f t="shared" si="12"/>
        <v>41495.879999999997</v>
      </c>
      <c r="F34" s="149">
        <f t="shared" si="12"/>
        <v>27238.91</v>
      </c>
      <c r="G34" s="149">
        <f t="shared" si="12"/>
        <v>27061.250000000004</v>
      </c>
      <c r="H34" s="149">
        <f t="shared" si="12"/>
        <v>31270.6</v>
      </c>
      <c r="I34" s="149">
        <f t="shared" si="12"/>
        <v>20899.010000000002</v>
      </c>
      <c r="J34" s="149">
        <f t="shared" si="12"/>
        <v>30007.52</v>
      </c>
      <c r="K34" s="149">
        <f t="shared" si="12"/>
        <v>18733.210000000003</v>
      </c>
      <c r="L34" s="149">
        <f t="shared" si="12"/>
        <v>18058.449999999997</v>
      </c>
      <c r="M34" s="149">
        <f t="shared" si="12"/>
        <v>38089.269999999997</v>
      </c>
      <c r="N34" s="149">
        <f t="shared" si="12"/>
        <v>24474.28</v>
      </c>
      <c r="O34" s="149">
        <f t="shared" si="12"/>
        <v>28847.47714285714</v>
      </c>
      <c r="P34" s="149">
        <f t="shared" si="12"/>
        <v>344636.75</v>
      </c>
      <c r="Q34" s="88">
        <f t="shared" si="12"/>
        <v>59662.999999999993</v>
      </c>
    </row>
    <row r="35" spans="1:18" s="15" customFormat="1" ht="15.95" customHeight="1" thickBot="1" x14ac:dyDescent="0.3">
      <c r="A35" s="189"/>
      <c r="B35" s="20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6"/>
    </row>
    <row r="36" spans="1:18" ht="15.95" customHeight="1" thickBot="1" x14ac:dyDescent="0.3">
      <c r="B36" s="295" t="s">
        <v>5</v>
      </c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296"/>
      <c r="P36" s="296"/>
      <c r="Q36" s="297"/>
    </row>
    <row r="37" spans="1:18" ht="15.95" customHeight="1" thickBot="1" x14ac:dyDescent="0.3">
      <c r="B37" s="48" t="s">
        <v>1</v>
      </c>
      <c r="C37" s="47" t="s">
        <v>0</v>
      </c>
      <c r="D37" s="48" t="s">
        <v>14</v>
      </c>
      <c r="E37" s="46" t="s">
        <v>15</v>
      </c>
      <c r="F37" s="48" t="s">
        <v>16</v>
      </c>
      <c r="G37" s="48" t="s">
        <v>17</v>
      </c>
      <c r="H37" s="48" t="s">
        <v>18</v>
      </c>
      <c r="I37" s="48" t="s">
        <v>19</v>
      </c>
      <c r="J37" s="48" t="s">
        <v>20</v>
      </c>
      <c r="K37" s="48" t="s">
        <v>21</v>
      </c>
      <c r="L37" s="48" t="s">
        <v>22</v>
      </c>
      <c r="M37" s="48" t="s">
        <v>23</v>
      </c>
      <c r="N37" s="47" t="s">
        <v>24</v>
      </c>
      <c r="O37" s="49" t="s">
        <v>25</v>
      </c>
      <c r="P37" s="49" t="s">
        <v>26</v>
      </c>
      <c r="Q37" s="49" t="s">
        <v>27</v>
      </c>
    </row>
    <row r="38" spans="1:18" ht="15.95" customHeight="1" x14ac:dyDescent="0.25">
      <c r="B38" s="152" t="s">
        <v>7</v>
      </c>
      <c r="C38" s="116">
        <v>7315.61</v>
      </c>
      <c r="D38" s="116">
        <v>4257.75</v>
      </c>
      <c r="E38" s="153">
        <v>5358.73</v>
      </c>
      <c r="F38" s="112">
        <v>8907.84</v>
      </c>
      <c r="G38" s="114">
        <v>7001.97</v>
      </c>
      <c r="H38" s="115">
        <v>5347.8</v>
      </c>
      <c r="I38" s="112">
        <v>6797.33</v>
      </c>
      <c r="J38" s="112">
        <v>6681.38</v>
      </c>
      <c r="K38" s="112">
        <v>5045.3100000000004</v>
      </c>
      <c r="L38" s="116">
        <v>8300.81</v>
      </c>
      <c r="M38" s="126">
        <v>4798.3599999999997</v>
      </c>
      <c r="N38" s="118">
        <v>5792.51</v>
      </c>
      <c r="O38" s="119">
        <f>AVERAGE(B38:N38)</f>
        <v>6300.45</v>
      </c>
      <c r="P38" s="119">
        <f>SUM(C38:N38)</f>
        <v>75605.399999999994</v>
      </c>
      <c r="Q38" s="120">
        <f>MAX(C38:N38)</f>
        <v>8907.84</v>
      </c>
    </row>
    <row r="39" spans="1:18" ht="15.95" customHeight="1" x14ac:dyDescent="0.25">
      <c r="B39" s="67" t="s">
        <v>8</v>
      </c>
      <c r="C39" s="125">
        <v>8587.14</v>
      </c>
      <c r="D39" s="125">
        <v>5155.1099999999997</v>
      </c>
      <c r="E39" s="154">
        <v>4827.1499999999996</v>
      </c>
      <c r="F39" s="123">
        <v>9557.51</v>
      </c>
      <c r="G39" s="125">
        <v>7146.8</v>
      </c>
      <c r="H39" s="123">
        <v>5377.46</v>
      </c>
      <c r="I39" s="123">
        <v>9281.06</v>
      </c>
      <c r="J39" s="123">
        <v>7380.51</v>
      </c>
      <c r="K39" s="123">
        <v>2645.96</v>
      </c>
      <c r="L39" s="125">
        <v>4269.24</v>
      </c>
      <c r="M39" s="129">
        <v>2102.64</v>
      </c>
      <c r="N39" s="117">
        <v>4088.45</v>
      </c>
      <c r="O39" s="127">
        <f t="shared" ref="O39:O44" si="13">AVERAGE(B39:N39)</f>
        <v>5868.2524999999996</v>
      </c>
      <c r="P39" s="127">
        <f t="shared" ref="P39:P44" si="14">SUM(C39:N39)</f>
        <v>70419.03</v>
      </c>
      <c r="Q39" s="155">
        <f t="shared" ref="Q39:Q44" si="15">MAX(C39:N39)</f>
        <v>9557.51</v>
      </c>
    </row>
    <row r="40" spans="1:18" ht="15.95" customHeight="1" x14ac:dyDescent="0.25">
      <c r="B40" s="67" t="s">
        <v>9</v>
      </c>
      <c r="C40" s="125">
        <v>7549.57</v>
      </c>
      <c r="D40" s="125">
        <v>5345.29</v>
      </c>
      <c r="E40" s="154">
        <v>7120.06</v>
      </c>
      <c r="F40" s="123">
        <v>7737.7</v>
      </c>
      <c r="G40" s="125">
        <v>7330.14</v>
      </c>
      <c r="H40" s="123">
        <v>5347.8</v>
      </c>
      <c r="I40" s="123">
        <v>7920.06</v>
      </c>
      <c r="J40" s="123">
        <v>5969.6</v>
      </c>
      <c r="K40" s="123">
        <v>4653.08</v>
      </c>
      <c r="L40" s="125">
        <v>6387.8</v>
      </c>
      <c r="M40" s="129">
        <v>6044.11</v>
      </c>
      <c r="N40" s="117">
        <v>6318.27</v>
      </c>
      <c r="O40" s="127">
        <f t="shared" si="13"/>
        <v>6476.9566666666678</v>
      </c>
      <c r="P40" s="127">
        <f t="shared" si="14"/>
        <v>77723.48000000001</v>
      </c>
      <c r="Q40" s="155">
        <f t="shared" si="15"/>
        <v>7920.06</v>
      </c>
    </row>
    <row r="41" spans="1:18" ht="15.95" customHeight="1" x14ac:dyDescent="0.25">
      <c r="B41" s="156" t="s">
        <v>57</v>
      </c>
      <c r="C41" s="125">
        <v>2877.43</v>
      </c>
      <c r="D41" s="125">
        <v>2986.65</v>
      </c>
      <c r="E41" s="166">
        <v>2943.65</v>
      </c>
      <c r="F41" s="185">
        <v>5297.19</v>
      </c>
      <c r="G41" s="125">
        <v>5596.02</v>
      </c>
      <c r="H41" s="123">
        <v>6729.24</v>
      </c>
      <c r="I41" s="123">
        <v>4769.97</v>
      </c>
      <c r="J41" s="123">
        <v>5168.5</v>
      </c>
      <c r="K41" s="138">
        <v>4779.4740000000002</v>
      </c>
      <c r="L41" s="136">
        <v>27.83</v>
      </c>
      <c r="M41" s="129"/>
      <c r="N41" s="134"/>
      <c r="O41" s="127">
        <f t="shared" si="13"/>
        <v>4117.5954000000002</v>
      </c>
      <c r="P41" s="127">
        <f t="shared" si="14"/>
        <v>41175.954000000005</v>
      </c>
      <c r="Q41" s="155">
        <f t="shared" si="15"/>
        <v>6729.24</v>
      </c>
    </row>
    <row r="42" spans="1:18" ht="15.95" customHeight="1" x14ac:dyDescent="0.25">
      <c r="B42" s="67" t="s">
        <v>10</v>
      </c>
      <c r="C42" s="125">
        <v>6129.63</v>
      </c>
      <c r="D42" s="125">
        <v>37055.49</v>
      </c>
      <c r="E42" s="166">
        <v>26079.17</v>
      </c>
      <c r="F42" s="125">
        <v>15188.02</v>
      </c>
      <c r="G42" s="125">
        <v>15522.89</v>
      </c>
      <c r="H42" s="123">
        <v>13935.55</v>
      </c>
      <c r="I42" s="123">
        <v>33001.24</v>
      </c>
      <c r="J42" s="123">
        <v>10507.33</v>
      </c>
      <c r="K42" s="123" t="s">
        <v>62</v>
      </c>
      <c r="L42" s="125">
        <v>12026.8</v>
      </c>
      <c r="M42" s="129">
        <v>2843.6</v>
      </c>
      <c r="N42" s="134"/>
      <c r="O42" s="127">
        <f t="shared" si="13"/>
        <v>17228.971999999998</v>
      </c>
      <c r="P42" s="127">
        <f t="shared" si="14"/>
        <v>172289.71999999997</v>
      </c>
      <c r="Q42" s="155">
        <f t="shared" si="15"/>
        <v>37055.49</v>
      </c>
    </row>
    <row r="43" spans="1:18" ht="15.95" customHeight="1" x14ac:dyDescent="0.25">
      <c r="B43" s="67" t="s">
        <v>11</v>
      </c>
      <c r="C43" s="157"/>
      <c r="D43" s="136">
        <v>204.62</v>
      </c>
      <c r="E43" s="154">
        <v>313.44</v>
      </c>
      <c r="F43" s="167">
        <v>297.47000000000003</v>
      </c>
      <c r="G43" s="164"/>
      <c r="H43" s="133"/>
      <c r="I43" s="168">
        <v>338.11</v>
      </c>
      <c r="J43" s="168"/>
      <c r="K43" s="138"/>
      <c r="L43" s="169"/>
      <c r="M43" s="170"/>
      <c r="N43" s="171"/>
      <c r="O43" s="127">
        <f t="shared" si="13"/>
        <v>288.40999999999997</v>
      </c>
      <c r="P43" s="127">
        <f t="shared" si="14"/>
        <v>1153.6399999999999</v>
      </c>
      <c r="Q43" s="155">
        <f t="shared" si="15"/>
        <v>338.11</v>
      </c>
    </row>
    <row r="44" spans="1:18" ht="15.95" customHeight="1" thickBot="1" x14ac:dyDescent="0.3">
      <c r="B44" s="159" t="s">
        <v>13</v>
      </c>
      <c r="C44" s="160">
        <v>2526.4299999999998</v>
      </c>
      <c r="D44" s="160">
        <v>2687.89</v>
      </c>
      <c r="E44" s="161">
        <v>5251.14</v>
      </c>
      <c r="F44" s="142">
        <v>3547.49</v>
      </c>
      <c r="G44" s="172">
        <v>3364.05</v>
      </c>
      <c r="H44" s="173">
        <v>2850.61</v>
      </c>
      <c r="I44" s="142">
        <v>2747.7</v>
      </c>
      <c r="J44" s="142">
        <v>1811.2</v>
      </c>
      <c r="K44" s="173">
        <v>992.09</v>
      </c>
      <c r="L44" s="142">
        <v>1037.1600000000001</v>
      </c>
      <c r="M44" s="174">
        <v>1852.23</v>
      </c>
      <c r="N44" s="175">
        <v>5555.56</v>
      </c>
      <c r="O44" s="147">
        <f t="shared" si="13"/>
        <v>2851.9625000000001</v>
      </c>
      <c r="P44" s="147">
        <f t="shared" si="14"/>
        <v>34223.550000000003</v>
      </c>
      <c r="Q44" s="148">
        <f t="shared" si="15"/>
        <v>5555.56</v>
      </c>
    </row>
    <row r="45" spans="1:18" ht="15.95" customHeight="1" thickBot="1" x14ac:dyDescent="0.3">
      <c r="B45" s="199" t="s">
        <v>26</v>
      </c>
      <c r="C45" s="149">
        <f>SUM(C38:C44)</f>
        <v>34985.81</v>
      </c>
      <c r="D45" s="149">
        <f t="shared" ref="D45:Q45" si="16">SUM(D38:D44)</f>
        <v>57692.800000000003</v>
      </c>
      <c r="E45" s="149">
        <f t="shared" si="16"/>
        <v>51893.34</v>
      </c>
      <c r="F45" s="149">
        <f t="shared" si="16"/>
        <v>50533.219999999994</v>
      </c>
      <c r="G45" s="149">
        <f t="shared" si="16"/>
        <v>45961.87</v>
      </c>
      <c r="H45" s="149">
        <f t="shared" si="16"/>
        <v>39588.460000000006</v>
      </c>
      <c r="I45" s="149">
        <f t="shared" si="16"/>
        <v>64855.47</v>
      </c>
      <c r="J45" s="149">
        <f t="shared" si="16"/>
        <v>37518.519999999997</v>
      </c>
      <c r="K45" s="149">
        <f t="shared" si="16"/>
        <v>18115.914000000001</v>
      </c>
      <c r="L45" s="149">
        <f t="shared" si="16"/>
        <v>32049.64</v>
      </c>
      <c r="M45" s="149">
        <f t="shared" si="16"/>
        <v>17640.940000000002</v>
      </c>
      <c r="N45" s="149">
        <f t="shared" si="16"/>
        <v>21754.79</v>
      </c>
      <c r="O45" s="149">
        <f t="shared" si="16"/>
        <v>43132.599066666669</v>
      </c>
      <c r="P45" s="149">
        <f t="shared" si="16"/>
        <v>472590.77399999998</v>
      </c>
      <c r="Q45" s="88">
        <f t="shared" si="16"/>
        <v>76063.81</v>
      </c>
    </row>
    <row r="46" spans="1:18" s="1" customFormat="1" ht="15.95" customHeight="1" thickBot="1" x14ac:dyDescent="0.3">
      <c r="A46" s="186"/>
      <c r="B46" s="198"/>
      <c r="C46" s="186"/>
      <c r="D46" s="186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</row>
    <row r="47" spans="1:18" ht="15.95" customHeight="1" thickBot="1" x14ac:dyDescent="0.3">
      <c r="B47" s="301" t="s">
        <v>73</v>
      </c>
      <c r="C47" s="302"/>
      <c r="D47" s="302"/>
      <c r="E47" s="302"/>
      <c r="F47" s="302"/>
      <c r="G47" s="302"/>
      <c r="H47" s="302"/>
      <c r="I47" s="302"/>
      <c r="J47" s="302"/>
      <c r="K47" s="302"/>
      <c r="L47" s="302"/>
      <c r="M47" s="302"/>
      <c r="N47" s="302"/>
      <c r="O47" s="302"/>
      <c r="P47" s="302"/>
      <c r="Q47" s="303"/>
    </row>
    <row r="48" spans="1:18" ht="15.95" customHeight="1" thickBot="1" x14ac:dyDescent="0.3">
      <c r="B48" s="48" t="s">
        <v>1</v>
      </c>
      <c r="C48" s="93" t="s">
        <v>0</v>
      </c>
      <c r="D48" s="94" t="s">
        <v>14</v>
      </c>
      <c r="E48" s="95" t="s">
        <v>15</v>
      </c>
      <c r="F48" s="94" t="s">
        <v>16</v>
      </c>
      <c r="G48" s="94" t="s">
        <v>17</v>
      </c>
      <c r="H48" s="94" t="s">
        <v>18</v>
      </c>
      <c r="I48" s="94" t="s">
        <v>19</v>
      </c>
      <c r="J48" s="94" t="s">
        <v>20</v>
      </c>
      <c r="K48" s="94" t="s">
        <v>21</v>
      </c>
      <c r="L48" s="94" t="s">
        <v>22</v>
      </c>
      <c r="M48" s="94" t="s">
        <v>23</v>
      </c>
      <c r="N48" s="93" t="s">
        <v>24</v>
      </c>
      <c r="O48" s="96" t="s">
        <v>25</v>
      </c>
      <c r="P48" s="96" t="s">
        <v>26</v>
      </c>
      <c r="Q48" s="96" t="s">
        <v>27</v>
      </c>
    </row>
    <row r="49" spans="2:17" ht="15.95" customHeight="1" thickBot="1" x14ac:dyDescent="0.3">
      <c r="B49" s="140" t="s">
        <v>13</v>
      </c>
      <c r="C49" s="176">
        <v>2820</v>
      </c>
      <c r="D49" s="177">
        <v>1800</v>
      </c>
      <c r="E49" s="178">
        <v>6492.44</v>
      </c>
      <c r="F49" s="179">
        <v>5200.2299999999996</v>
      </c>
      <c r="G49" s="180">
        <v>11551.42</v>
      </c>
      <c r="H49" s="181">
        <v>6197.88</v>
      </c>
      <c r="I49" s="181">
        <v>6287.59</v>
      </c>
      <c r="J49" s="181">
        <v>7473.93</v>
      </c>
      <c r="K49" s="179">
        <v>5261.99</v>
      </c>
      <c r="L49" s="179">
        <v>8594.3700000000008</v>
      </c>
      <c r="M49" s="179">
        <v>5267.28</v>
      </c>
      <c r="N49" s="187">
        <v>5041.22</v>
      </c>
      <c r="O49" s="182">
        <f>AVERAGE(C49:N49)</f>
        <v>5999.0291666666672</v>
      </c>
      <c r="P49" s="182">
        <f>SUM(C49:N49)</f>
        <v>71988.350000000006</v>
      </c>
      <c r="Q49" s="183">
        <f>MAX(C49:N49)</f>
        <v>11551.42</v>
      </c>
    </row>
    <row r="50" spans="2:17" ht="15.95" customHeight="1" thickBot="1" x14ac:dyDescent="0.3"/>
    <row r="51" spans="2:17" ht="15.95" customHeight="1" thickBot="1" x14ac:dyDescent="0.3">
      <c r="B51" s="301" t="s">
        <v>55</v>
      </c>
      <c r="C51" s="303"/>
    </row>
    <row r="52" spans="2:17" ht="15.95" customHeight="1" thickBot="1" x14ac:dyDescent="0.3">
      <c r="B52" s="48" t="s">
        <v>1</v>
      </c>
      <c r="C52" s="48" t="s">
        <v>24</v>
      </c>
    </row>
    <row r="53" spans="2:17" ht="15.95" customHeight="1" x14ac:dyDescent="0.25">
      <c r="B53" s="152" t="s">
        <v>7</v>
      </c>
      <c r="C53" s="116">
        <v>1958.79</v>
      </c>
    </row>
    <row r="54" spans="2:17" ht="15.95" customHeight="1" x14ac:dyDescent="0.25">
      <c r="B54" s="67" t="s">
        <v>8</v>
      </c>
      <c r="C54" s="125">
        <v>5421.07</v>
      </c>
    </row>
    <row r="55" spans="2:17" ht="15.95" customHeight="1" x14ac:dyDescent="0.25">
      <c r="B55" s="67" t="s">
        <v>9</v>
      </c>
      <c r="C55" s="125">
        <v>3379.78</v>
      </c>
    </row>
    <row r="56" spans="2:17" ht="15.95" customHeight="1" x14ac:dyDescent="0.25">
      <c r="B56" s="156" t="s">
        <v>57</v>
      </c>
      <c r="C56" s="125">
        <v>712.5</v>
      </c>
    </row>
    <row r="57" spans="2:17" ht="15.95" customHeight="1" x14ac:dyDescent="0.25">
      <c r="B57" s="67" t="s">
        <v>10</v>
      </c>
      <c r="C57" s="125">
        <v>23539.88</v>
      </c>
    </row>
    <row r="58" spans="2:17" ht="15.95" customHeight="1" x14ac:dyDescent="0.25">
      <c r="B58" s="67" t="s">
        <v>11</v>
      </c>
      <c r="C58" s="157"/>
    </row>
    <row r="59" spans="2:17" ht="15.95" customHeight="1" thickBot="1" x14ac:dyDescent="0.3">
      <c r="B59" s="159" t="s">
        <v>13</v>
      </c>
      <c r="C59" s="160">
        <v>1146.1099999999999</v>
      </c>
    </row>
  </sheetData>
  <customSheetViews>
    <customSheetView guid="{C84F1237-6930-4835-8603-91455A7E0F8F}" scale="82" topLeftCell="B25">
      <selection activeCell="I54" sqref="I54"/>
      <pageMargins left="0.19685039370078741" right="0.19685039370078741" top="0.19685039370078741" bottom="0.19685039370078741" header="0.19685039370078741" footer="0.19685039370078741"/>
      <printOptions horizontalCentered="1" verticalCentered="1"/>
      <pageSetup paperSize="9" scale="45" orientation="landscape" horizontalDpi="0" verticalDpi="0" r:id="rId1"/>
      <headerFooter>
        <oddHeader>&amp;L&amp;G&amp;C&amp;A</oddHeader>
      </headerFooter>
    </customSheetView>
  </customSheetViews>
  <mergeCells count="6">
    <mergeCell ref="B51:C51"/>
    <mergeCell ref="B36:Q36"/>
    <mergeCell ref="B47:Q47"/>
    <mergeCell ref="B2:Q2"/>
    <mergeCell ref="B14:Q14"/>
    <mergeCell ref="B25:Q25"/>
  </mergeCells>
  <printOptions horizontalCentered="1" verticalCentered="1"/>
  <pageMargins left="0" right="0" top="0" bottom="0" header="0" footer="0"/>
  <pageSetup paperSize="9" scale="57" orientation="landscape" horizontalDpi="0" verticalDpi="0" r:id="rId2"/>
  <headerFooter>
    <oddHeader>&amp;C&amp;A</oddHeader>
    <oddFooter>&amp;Z&amp;F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"/>
  <dimension ref="A1:K14"/>
  <sheetViews>
    <sheetView workbookViewId="0">
      <selection activeCell="D2" sqref="D2:D3"/>
    </sheetView>
  </sheetViews>
  <sheetFormatPr defaultRowHeight="15" x14ac:dyDescent="0.25"/>
  <cols>
    <col min="1" max="1" width="11.5703125" bestFit="1" customWidth="1"/>
    <col min="2" max="4" width="10.7109375" customWidth="1"/>
    <col min="5" max="5" width="13.28515625" customWidth="1"/>
    <col min="6" max="6" width="14" customWidth="1"/>
    <col min="7" max="10" width="10.7109375" customWidth="1"/>
    <col min="11" max="11" width="13" customWidth="1"/>
  </cols>
  <sheetData>
    <row r="1" spans="1:11" s="1" customFormat="1" x14ac:dyDescent="0.25"/>
    <row r="2" spans="1:11" ht="42.75" customHeight="1" x14ac:dyDescent="0.25">
      <c r="A2" s="2"/>
      <c r="B2" s="3" t="s">
        <v>28</v>
      </c>
      <c r="C2" s="3" t="s">
        <v>29</v>
      </c>
      <c r="D2" s="3" t="s">
        <v>30</v>
      </c>
      <c r="E2" s="3" t="s">
        <v>48</v>
      </c>
      <c r="F2" s="3" t="s">
        <v>49</v>
      </c>
      <c r="G2" s="3" t="s">
        <v>46</v>
      </c>
      <c r="H2" s="3" t="s">
        <v>47</v>
      </c>
      <c r="I2" s="3" t="s">
        <v>34</v>
      </c>
      <c r="J2" s="3" t="s">
        <v>50</v>
      </c>
      <c r="K2" s="3" t="s">
        <v>35</v>
      </c>
    </row>
    <row r="3" spans="1:11" x14ac:dyDescent="0.25">
      <c r="A3" s="7" t="s">
        <v>45</v>
      </c>
      <c r="B3" s="10">
        <v>86887.45</v>
      </c>
      <c r="C3" s="6">
        <v>1787.92</v>
      </c>
      <c r="D3" s="5"/>
      <c r="E3" s="5"/>
      <c r="F3" s="5"/>
      <c r="G3" s="5"/>
      <c r="H3" s="5"/>
      <c r="I3" s="5"/>
      <c r="J3" s="5"/>
      <c r="K3" s="5"/>
    </row>
    <row r="4" spans="1:11" x14ac:dyDescent="0.25">
      <c r="A4" s="7" t="s">
        <v>14</v>
      </c>
      <c r="B4" s="10">
        <v>81097.34</v>
      </c>
      <c r="C4" s="6">
        <v>2818.79</v>
      </c>
      <c r="D4" s="8"/>
      <c r="E4" s="5"/>
      <c r="F4" s="5"/>
      <c r="G4" s="5"/>
      <c r="H4" s="5"/>
      <c r="I4" s="5"/>
      <c r="J4" s="5"/>
      <c r="K4" s="5"/>
    </row>
    <row r="5" spans="1:11" x14ac:dyDescent="0.25">
      <c r="A5" s="7" t="s">
        <v>15</v>
      </c>
      <c r="B5" s="10">
        <v>94072.39</v>
      </c>
      <c r="C5" s="6">
        <v>1593.07</v>
      </c>
      <c r="D5" s="8"/>
      <c r="E5" s="5"/>
      <c r="F5" s="5"/>
      <c r="G5" s="5"/>
      <c r="H5" s="5"/>
      <c r="I5" s="5"/>
      <c r="J5" s="5"/>
      <c r="K5" s="5"/>
    </row>
    <row r="6" spans="1:11" x14ac:dyDescent="0.25">
      <c r="A6" s="7" t="s">
        <v>16</v>
      </c>
      <c r="B6" s="11">
        <v>105697.93</v>
      </c>
      <c r="C6" s="9">
        <v>1103.99</v>
      </c>
      <c r="D6" s="8"/>
      <c r="E6" s="5"/>
      <c r="F6" s="5"/>
      <c r="G6" s="5"/>
      <c r="H6" s="5"/>
      <c r="I6" s="5"/>
      <c r="J6" s="5"/>
      <c r="K6" s="5"/>
    </row>
    <row r="7" spans="1:11" x14ac:dyDescent="0.25">
      <c r="A7" s="7" t="s">
        <v>17</v>
      </c>
      <c r="B7" s="11">
        <v>99379.57</v>
      </c>
      <c r="C7" s="9">
        <v>1077.94</v>
      </c>
      <c r="D7" s="8"/>
      <c r="E7" s="5"/>
      <c r="F7" s="5"/>
      <c r="G7" s="5"/>
      <c r="H7" s="5"/>
      <c r="I7" s="5"/>
      <c r="J7" s="5"/>
      <c r="K7" s="5"/>
    </row>
    <row r="8" spans="1:11" x14ac:dyDescent="0.25">
      <c r="A8" s="7" t="s">
        <v>18</v>
      </c>
      <c r="B8" s="11">
        <v>81086.66</v>
      </c>
      <c r="C8" s="9">
        <v>1731.59</v>
      </c>
      <c r="D8" s="8"/>
      <c r="E8" s="5"/>
      <c r="F8" s="5"/>
      <c r="G8" s="5"/>
      <c r="H8" s="5"/>
      <c r="I8" s="5"/>
      <c r="J8" s="5"/>
      <c r="K8" s="5"/>
    </row>
    <row r="9" spans="1:11" x14ac:dyDescent="0.25">
      <c r="A9" s="7" t="s">
        <v>19</v>
      </c>
      <c r="B9" s="11">
        <v>79337.98</v>
      </c>
      <c r="C9" s="9">
        <v>1579.71</v>
      </c>
      <c r="D9" s="8"/>
      <c r="E9" s="5"/>
      <c r="F9" s="5"/>
      <c r="G9" s="5"/>
      <c r="H9" s="5"/>
      <c r="I9" s="5"/>
      <c r="J9" s="5"/>
      <c r="K9" s="5"/>
    </row>
    <row r="10" spans="1:11" x14ac:dyDescent="0.25">
      <c r="A10" s="4" t="s">
        <v>20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25">
      <c r="A11" s="4" t="s">
        <v>21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4" t="s">
        <v>22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25">
      <c r="A13" s="4" t="s">
        <v>23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25">
      <c r="A14" s="4" t="s">
        <v>24</v>
      </c>
      <c r="B14" s="5"/>
      <c r="C14" s="5"/>
      <c r="D14" s="5"/>
      <c r="E14" s="5"/>
      <c r="F14" s="5"/>
      <c r="G14" s="5"/>
      <c r="H14" s="5"/>
      <c r="I14" s="5"/>
      <c r="J14" s="5"/>
      <c r="K14" s="5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"/>
  <dimension ref="A1:E11"/>
  <sheetViews>
    <sheetView workbookViewId="0">
      <selection activeCell="W22" sqref="W22"/>
    </sheetView>
  </sheetViews>
  <sheetFormatPr defaultRowHeight="15" x14ac:dyDescent="0.25"/>
  <cols>
    <col min="1" max="1" width="12" customWidth="1"/>
    <col min="2" max="2" width="11.5703125" customWidth="1"/>
    <col min="3" max="3" width="13.140625" customWidth="1"/>
  </cols>
  <sheetData>
    <row r="1" spans="1:5" x14ac:dyDescent="0.25">
      <c r="A1" t="s">
        <v>51</v>
      </c>
    </row>
    <row r="2" spans="1:5" x14ac:dyDescent="0.25">
      <c r="A2" t="s">
        <v>52</v>
      </c>
      <c r="B2" t="s">
        <v>2</v>
      </c>
      <c r="C2" s="13" t="s">
        <v>3</v>
      </c>
      <c r="D2" t="s">
        <v>4</v>
      </c>
      <c r="E2" t="s">
        <v>55</v>
      </c>
    </row>
    <row r="3" spans="1:5" x14ac:dyDescent="0.25">
      <c r="A3" t="s">
        <v>0</v>
      </c>
      <c r="B3" s="12">
        <v>78745.08</v>
      </c>
      <c r="C3" s="12">
        <v>52591.199999999997</v>
      </c>
    </row>
    <row r="4" spans="1:5" s="1" customFormat="1" x14ac:dyDescent="0.25">
      <c r="A4" s="1" t="s">
        <v>14</v>
      </c>
      <c r="B4" s="12">
        <v>62499.78</v>
      </c>
      <c r="C4" s="12">
        <v>51534.26</v>
      </c>
    </row>
    <row r="5" spans="1:5" x14ac:dyDescent="0.25">
      <c r="A5" t="s">
        <v>15</v>
      </c>
      <c r="B5" s="12">
        <v>57043.15</v>
      </c>
      <c r="C5" s="12">
        <v>47804.81</v>
      </c>
    </row>
    <row r="6" spans="1:5" x14ac:dyDescent="0.25">
      <c r="A6" t="s">
        <v>16</v>
      </c>
      <c r="B6" s="12">
        <v>59337.67</v>
      </c>
      <c r="C6" s="12">
        <v>53919.79</v>
      </c>
    </row>
    <row r="7" spans="1:5" x14ac:dyDescent="0.25">
      <c r="A7" t="s">
        <v>53</v>
      </c>
      <c r="B7" s="12">
        <v>69683.5</v>
      </c>
      <c r="C7" s="12">
        <v>50607.18</v>
      </c>
    </row>
    <row r="8" spans="1:5" x14ac:dyDescent="0.25">
      <c r="A8" t="s">
        <v>18</v>
      </c>
      <c r="B8" s="12">
        <v>90824.55</v>
      </c>
      <c r="C8" s="12">
        <v>51808.37</v>
      </c>
    </row>
    <row r="9" spans="1:5" x14ac:dyDescent="0.25">
      <c r="A9" t="s">
        <v>19</v>
      </c>
      <c r="B9" s="12">
        <v>73648.83</v>
      </c>
      <c r="C9" s="12">
        <v>51218.559999999998</v>
      </c>
    </row>
    <row r="10" spans="1:5" x14ac:dyDescent="0.25">
      <c r="A10" t="s">
        <v>54</v>
      </c>
      <c r="B10" s="12">
        <v>75277.11</v>
      </c>
      <c r="C10" s="12">
        <v>53066.45</v>
      </c>
    </row>
    <row r="11" spans="1:5" x14ac:dyDescent="0.25">
      <c r="A11" t="s">
        <v>21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PERDAS  SAIDAS SETORES (2026)</vt:lpstr>
      <vt:lpstr>PERDAS  SAIDAS SETORES (2025)</vt:lpstr>
      <vt:lpstr>MATERIAL USO CONSUMO (2026)</vt:lpstr>
      <vt:lpstr>MATERIAL USO CONSUMO</vt:lpstr>
      <vt:lpstr>Planilha1</vt:lpstr>
      <vt:lpstr>PERDAS LOJA 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Supermercado Sol</dc:creator>
  <cp:lastModifiedBy>Supermercado Sol</cp:lastModifiedBy>
  <cp:lastPrinted>2026-05-11T13:30:32Z</cp:lastPrinted>
  <dcterms:created xsi:type="dcterms:W3CDTF">2025-05-13T12:04:50Z</dcterms:created>
  <dcterms:modified xsi:type="dcterms:W3CDTF">2026-05-11T14:02:24Z</dcterms:modified>
</cp:coreProperties>
</file>